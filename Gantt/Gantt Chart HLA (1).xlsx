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5"/>
  </sheets>
  <definedNames/>
  <calcPr/>
</workbook>
</file>

<file path=xl/sharedStrings.xml><?xml version="1.0" encoding="utf-8"?>
<sst xmlns="http://schemas.openxmlformats.org/spreadsheetml/2006/main" count="288" uniqueCount="179">
  <si>
    <t xml:space="preserve">
PREDECESSOR TASK
-
-
T1.2
T1.2
T1.2
T1.5
T1.6
T1.8
</t>
  </si>
  <si>
    <t>PROJECT TITLE</t>
  </si>
  <si>
    <t>Wild Type vs Mutant: understanding hereditary lysozyme amyloidosis</t>
  </si>
  <si>
    <t>COMPANY NAME</t>
  </si>
  <si>
    <t>UPC</t>
  </si>
  <si>
    <t>PROJECT MEMBERS</t>
  </si>
  <si>
    <t>Juan David Ricaurte, Junwei Lin, Abril Cesar, Marina Cabredo</t>
  </si>
  <si>
    <t>DATE</t>
  </si>
  <si>
    <t>15.09.2026</t>
  </si>
  <si>
    <t>WP</t>
  </si>
  <si>
    <t>TASK ID</t>
  </si>
  <si>
    <t>TASK TITLE</t>
  </si>
  <si>
    <t>TASK OWNER</t>
  </si>
  <si>
    <t>PLANNED START DATE</t>
  </si>
  <si>
    <t>PLANNED END DATE</t>
  </si>
  <si>
    <t>DURATION (days)</t>
  </si>
  <si>
    <t>REAL DURATION</t>
  </si>
  <si>
    <t xml:space="preserve">OUTPUT </t>
  </si>
  <si>
    <t>PREDECESSOR TASK</t>
  </si>
  <si>
    <t>Definition of done</t>
  </si>
  <si>
    <t>WEEK 1</t>
  </si>
  <si>
    <t>WEEK 2</t>
  </si>
  <si>
    <t>WEEK 3</t>
  </si>
  <si>
    <t>WEEK 4</t>
  </si>
  <si>
    <t>WEEK 5</t>
  </si>
  <si>
    <t>M</t>
  </si>
  <si>
    <t>T</t>
  </si>
  <si>
    <t>W</t>
  </si>
  <si>
    <t>TH</t>
  </si>
  <si>
    <t>F</t>
  </si>
  <si>
    <t>R</t>
  </si>
  <si>
    <t>WP1 – Project Setup &amp; Planning</t>
  </si>
  <si>
    <t>T1.1</t>
  </si>
  <si>
    <t>Create the Gantt Chart Template</t>
  </si>
  <si>
    <t>Juan David</t>
  </si>
  <si>
    <t>15 sep-15 sep</t>
  </si>
  <si>
    <t>Gantt chart template (.xlsx)</t>
  </si>
  <si>
    <t>-</t>
  </si>
  <si>
    <t>.xlsx document created with a templete of a general Gantt Chart.</t>
  </si>
  <si>
    <t>T1.2</t>
  </si>
  <si>
    <t xml:space="preserve">Initialize GitHub repository </t>
  </si>
  <si>
    <t>Junwei Lin</t>
  </si>
  <si>
    <t>17 sep-17 sep</t>
  </si>
  <si>
    <t>GitHub repository shared with all members</t>
  </si>
  <si>
    <t>Repo created and shared with the members</t>
  </si>
  <si>
    <t>T1.3</t>
  </si>
  <si>
    <t>Repository structure</t>
  </si>
  <si>
    <t>Abril</t>
  </si>
  <si>
    <t>Repository folder structure with .gitignore, README and report files</t>
  </si>
  <si>
    <t>Creation of the Gantt, Status and Figures folders in the github repository. Creation of gitignore, readme and report documents.</t>
  </si>
  <si>
    <t>T1.4</t>
  </si>
  <si>
    <t>Edit report document</t>
  </si>
  <si>
    <t xml:space="preserve"> Report template following the journal format</t>
  </si>
  <si>
    <t>The report document have the structure of the general format recommended of a magazine</t>
  </si>
  <si>
    <t>T1.5</t>
  </si>
  <si>
    <t>Write readme document</t>
  </si>
  <si>
    <t>README document</t>
  </si>
  <si>
    <t>The document explain what our project is about, why is important to research it and what questions are we gonna answer.</t>
  </si>
  <si>
    <t xml:space="preserve"> </t>
  </si>
  <si>
    <t>T1.7</t>
  </si>
  <si>
    <t>Define roles</t>
  </si>
  <si>
    <t>All</t>
  </si>
  <si>
    <t>02 oct- 02 oct</t>
  </si>
  <si>
    <t>Role assignment table</t>
  </si>
  <si>
    <t>T1.6</t>
  </si>
  <si>
    <t>Each member is clear about their role in the project</t>
  </si>
  <si>
    <t>T1.8</t>
  </si>
  <si>
    <t>Complete the Gantt chart &amp; risk matrix</t>
  </si>
  <si>
    <t>Juan David &amp; Abril</t>
  </si>
  <si>
    <t>Completed Gantt chart and risk analysis</t>
  </si>
  <si>
    <t>Gantt chart + risk analysis committed to repo.</t>
  </si>
  <si>
    <t>M1</t>
  </si>
  <si>
    <t>MILESTONE: Roles &amp; planning approved</t>
  </si>
  <si>
    <t>—</t>
  </si>
  <si>
    <t>All members are agree whit scope &amp; plan</t>
  </si>
  <si>
    <t>WP2 – Study the dessease and proteine</t>
  </si>
  <si>
    <t>T2.1</t>
  </si>
  <si>
    <t>Research papers about the desease</t>
  </si>
  <si>
    <t>1 oct- 5 oct</t>
  </si>
  <si>
    <t xml:space="preserve"> Reference list with short notes on the selected papers (max. 3)</t>
  </si>
  <si>
    <t xml:space="preserve">The group have recolected as maximum 3 papers that allows to understand what is the disesasse about </t>
  </si>
  <si>
    <t>T2.2</t>
  </si>
  <si>
    <t>Define analysis folders</t>
  </si>
  <si>
    <t>Documented Git workflow and analysis folder structure</t>
  </si>
  <si>
    <t>Rules for branches written in the README; folders data/, gene/, protein/, structure/, species/ created.</t>
  </si>
  <si>
    <t>M2</t>
  </si>
  <si>
    <t xml:space="preserve">MILESTONE: Disease understood &amp; workflow ready </t>
  </si>
  <si>
    <t>Papers read and folders created in repo</t>
  </si>
  <si>
    <t>WP3 – Gene level analysis</t>
  </si>
  <si>
    <t>T3.1</t>
  </si>
  <si>
    <t>Validate CDS files and translate to protein</t>
  </si>
  <si>
    <t>Validation note on WT and mutant CDS files</t>
  </si>
  <si>
    <t>WT and mutant CDS start with ATG, end with a stop codon and their translation matches the protein FASTA.</t>
  </si>
  <si>
    <t>T3.2</t>
  </si>
  <si>
    <t>Align CDS WT vs mutant and locate the mutation</t>
  </si>
  <si>
    <t>CDS alignment file and mutation table</t>
  </si>
  <si>
    <t>Position, codon change and mutation type identified.</t>
  </si>
  <si>
    <t>T3.3</t>
  </si>
  <si>
    <t>Summarize gene-level results (figure + summary)</t>
  </si>
  <si>
    <t>Gene-level figure and summary text</t>
  </si>
  <si>
    <t>Alignment figure and short summary committed to gene/ in the repo.</t>
  </si>
  <si>
    <t>WP4 – Protein level analysis</t>
  </si>
  <si>
    <t>T4.1</t>
  </si>
  <si>
    <t>Align WT vs mutant protein and confirm the amino-acid change</t>
  </si>
  <si>
    <t>Protein alignment with confirmed amino-acid change</t>
  </si>
  <si>
    <t>Amino-acid change match the gene-level result of T3.2.</t>
  </si>
  <si>
    <t>T4.2</t>
  </si>
  <si>
    <t>Compare physicochemical properties and domains</t>
  </si>
  <si>
    <t>Table of physicochemical properties and domains</t>
  </si>
  <si>
    <t>Table with MW, pI, GRAVY, instability and domains (UniProt/InterPro) for WT and mutant.</t>
  </si>
  <si>
    <t>T4.3</t>
  </si>
  <si>
    <t>Summarize protein-level results</t>
  </si>
  <si>
    <t>Protein-level figure and summary text</t>
  </si>
  <si>
    <t>Figure and short summary committed to protein/ in the repo.</t>
  </si>
  <si>
    <t>M3</t>
  </si>
  <si>
    <t xml:space="preserve">MILESTONE: Sequence-level analyses done </t>
  </si>
  <si>
    <t>Gene and protein results committed and consistent with each other</t>
  </si>
  <si>
    <t>WP5 – Structure analysis</t>
  </si>
  <si>
    <t>T5.1</t>
  </si>
  <si>
    <t>Search PDB for WT and mutant structures</t>
  </si>
  <si>
    <t>Marina</t>
  </si>
  <si>
    <t>List of selected structure IDs</t>
  </si>
  <si>
    <t>Structures chosen and IDs documented</t>
  </si>
  <si>
    <t>T5.2</t>
  </si>
  <si>
    <t>Obtain the mutant structure</t>
  </si>
  <si>
    <t>Mutant structure file</t>
  </si>
  <si>
    <t>Mutant structure saved in structure/ with a basic quality check.</t>
  </si>
  <si>
    <t>T5.3</t>
  </si>
  <si>
    <t>Superimpose WT vs mutant and measure differences</t>
  </si>
  <si>
    <t>Superposition image and with local changes</t>
  </si>
  <si>
    <t>Report the local changes with around the mutation.</t>
  </si>
  <si>
    <t>T5.4</t>
  </si>
  <si>
    <t>Structural figures and summary</t>
  </si>
  <si>
    <t>Structural figures and summary text</t>
  </si>
  <si>
    <t>Figures and short summary committed to structure/ in the repo.</t>
  </si>
  <si>
    <t>WP6 – Cross-species comparison</t>
  </si>
  <si>
    <t>T6.1</t>
  </si>
  <si>
    <t>Select third species and validate orthologs</t>
  </si>
  <si>
    <t>Selected species and validated ortholog list</t>
  </si>
  <si>
    <t>Third species chosen; orthologs confirmed for human, C. l. familiaris and the third species.</t>
  </si>
  <si>
    <t>T6.2</t>
  </si>
  <si>
    <t>Build ortholog FASTA and run multiple alignment</t>
  </si>
  <si>
    <t>Ortholog FASTA file and multiple alignment</t>
  </si>
  <si>
    <t>Single FASTA with the three proteins and alignment file committed to species/.</t>
  </si>
  <si>
    <t>T6.3</t>
  </si>
  <si>
    <t>Check conservation of the mutated position and summarize</t>
  </si>
  <si>
    <t>Conservation figure and summary text</t>
  </si>
  <si>
    <t>Conservation of the mutated position described, with a figure and short summary in species/.</t>
  </si>
  <si>
    <t>M4</t>
  </si>
  <si>
    <t xml:space="preserve">MILESTONE: Structure &amp; cross-species analyses done </t>
  </si>
  <si>
    <t>Structure and species results committed to repo</t>
  </si>
  <si>
    <t>WP7 – Biological integration</t>
  </si>
  <si>
    <t>T7.1</t>
  </si>
  <si>
    <t>Check numbering and results are consistent across levels</t>
  </si>
  <si>
    <t>Consistency checklist (mutation name and numbering)</t>
  </si>
  <si>
    <t>Same mutation name, position and numbering in all analyses; contradictions listed and resolved.</t>
  </si>
  <si>
    <t>T7.2</t>
  </si>
  <si>
    <t>Build causal chain, answer the two research questions and write the discussion</t>
  </si>
  <si>
    <t>Discussion section and summary figure</t>
  </si>
  <si>
    <t>Discussion section and summary figure committed to report/; both research questions answered explicitly.</t>
  </si>
  <si>
    <t>M5</t>
  </si>
  <si>
    <t>MILESTONE: Integration &amp; report draft complete</t>
  </si>
  <si>
    <t>Discussion written and all sections present in the report</t>
  </si>
  <si>
    <t>WP8 – Report &amp; final submission</t>
  </si>
  <si>
    <t>T8.1</t>
  </si>
  <si>
    <t>Write each member's results section in the report</t>
  </si>
  <si>
    <t>Results sections drafted in the report</t>
  </si>
  <si>
    <t>Gene, protein, structure and species sections written in the report by their owners.</t>
  </si>
  <si>
    <t>T8.2</t>
  </si>
  <si>
    <t>Edit report and figures (style, numbering, references)</t>
  </si>
  <si>
    <t>Edited report with unified style, captions and references</t>
  </si>
  <si>
    <t>Unified style, numbered figures with captions and complete references.</t>
  </si>
  <si>
    <t>T8.3</t>
  </si>
  <si>
    <t>Final repository check and submission</t>
  </si>
  <si>
    <t>Final repository version submitted on main</t>
  </si>
  <si>
    <t>README updated, repo reproducible and clean, final version on main and submitted.</t>
  </si>
  <si>
    <t>M6</t>
  </si>
  <si>
    <t>MILESTONE: Final submission</t>
  </si>
  <si>
    <t>Repository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</si>
</sst>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dd-mmm-yy"/>
    <numFmt numFmtId="166" formatCode="m/d/yy"/>
    <numFmt numFmtId="167" formatCode="d-m"/>
    <numFmt numFmtId="168" formatCode="d-mmm-yyyy"/>
    <numFmt numFmtId="169" formatCode="\$#,##0.00"/>
    <numFmt numFmtId="170" formatCode="d\-mmm\-yyyy"/>
  </numFmts>
  <fonts count="17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Arial"/>
    </font>
    <font>
      <color rgb="FFFFFFFF"/>
      <name val="Arial"/>
      <scheme val="minor"/>
    </font>
    <font>
      <b/>
      <sz val="9.0"/>
      <color rgb="FFFFFFFF"/>
      <name val="Corbel"/>
    </font>
    <font>
      <sz val="11.0"/>
      <color rgb="FF000000"/>
      <name val="Arial"/>
    </font>
    <font>
      <sz val="9.0"/>
      <color rgb="FF000000"/>
      <name val="Arial"/>
    </font>
    <font/>
    <font>
      <sz val="11.0"/>
      <color theme="1"/>
      <name val="Arial"/>
    </font>
    <font>
      <sz val="12.0"/>
      <color rgb="FF000000"/>
      <name val="Corbel"/>
    </font>
    <font>
      <b/>
      <sz val="11.0"/>
      <color rgb="FF000000"/>
      <name val="Corbel"/>
    </font>
    <font>
      <b/>
      <sz val="9.0"/>
      <color rgb="FF000000"/>
      <name val="Corbel"/>
    </font>
    <font>
      <b/>
      <sz val="11.0"/>
      <color rgb="FFFFFFFF"/>
      <name val="Arial"/>
    </font>
    <font>
      <sz val="11.0"/>
      <color theme="1"/>
      <name val="Calibri"/>
    </font>
    <font>
      <b/>
      <i/>
      <sz val="11.0"/>
      <color theme="1"/>
      <name val="Arial"/>
    </font>
    <font>
      <sz val="11.0"/>
      <color rgb="FF000000"/>
      <name val="Corbel"/>
    </font>
    <font>
      <sz val="11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2E75B6"/>
        <bgColor rgb="FF2E75B6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0" xfId="0" applyFont="1"/>
    <xf borderId="1" fillId="3" fontId="4" numFmtId="0" xfId="0" applyAlignment="1" applyBorder="1" applyFill="1" applyFont="1">
      <alignment horizontal="right" shrinkToFit="0" vertical="bottom" wrapText="0"/>
    </xf>
    <xf borderId="2" fillId="2" fontId="5" numFmtId="0" xfId="0" applyAlignment="1" applyBorder="1" applyFill="1" applyFont="1">
      <alignment readingOrder="0" shrinkToFit="0" vertical="bottom" wrapText="0"/>
    </xf>
    <xf borderId="2" fillId="2" fontId="6" numFmtId="0" xfId="0" applyAlignment="1" applyBorder="1" applyFill="1" applyFont="1">
      <alignment shrinkToFit="0" vertical="bottom" wrapText="0"/>
    </xf>
    <xf borderId="3" fillId="2" fontId="6" numFmtId="0" xfId="0" applyAlignment="1" applyBorder="1" applyFill="1" applyFont="1">
      <alignment shrinkToFit="0" vertical="bottom" wrapText="0"/>
    </xf>
    <xf borderId="2" fillId="0" fontId="7" numFmtId="0" xfId="0" applyBorder="1" applyFont="1"/>
    <xf borderId="3" fillId="0" fontId="7" numFmtId="0" xfId="0" applyBorder="1" applyFont="1"/>
    <xf borderId="1" fillId="0" fontId="8" numFmtId="0" xfId="0" applyBorder="1" applyFont="1"/>
    <xf borderId="1" fillId="0" fontId="8" numFmtId="0" xfId="0" applyAlignment="1" applyBorder="1" applyFont="1">
      <alignment readingOrder="0"/>
    </xf>
    <xf borderId="0" fillId="0" fontId="9" numFmtId="0" xfId="0" applyAlignment="1" applyFont="1">
      <alignment shrinkToFit="0" vertical="bottom" wrapText="0"/>
    </xf>
    <xf borderId="0" fillId="4" fontId="10" numFmtId="0" xfId="0" applyAlignment="1" applyFill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5" fillId="4" fontId="10" numFmtId="0" xfId="0" applyAlignment="1" applyBorder="1" applyFill="1" applyFont="1">
      <alignment horizontal="center" shrinkToFit="0" vertical="center" wrapText="1"/>
    </xf>
    <xf borderId="5" fillId="4" fontId="10" numFmtId="0" xfId="0" applyAlignment="1" applyBorder="1" applyFill="1" applyFont="1">
      <alignment horizontal="center" readingOrder="0" shrinkToFit="0" vertical="center" wrapText="1"/>
    </xf>
    <xf borderId="6" fillId="5" fontId="4" numFmtId="0" xfId="0" applyAlignment="1" applyBorder="1" applyFill="1" applyFont="1">
      <alignment horizontal="center" shrinkToFit="0" vertical="bottom" wrapText="0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6" fontId="11" numFmtId="0" xfId="0" applyAlignment="1" applyBorder="1" applyFill="1" applyFont="1">
      <alignment horizontal="center" shrinkToFit="0" vertical="bottom" wrapText="0"/>
    </xf>
    <xf borderId="11" fillId="6" fontId="11" numFmtId="0" xfId="0" applyAlignment="1" applyBorder="1" applyFill="1" applyFont="1">
      <alignment horizontal="center" readingOrder="0" shrinkToFit="0" vertical="bottom" wrapText="0"/>
    </xf>
    <xf borderId="12" fillId="7" fontId="12" numFmtId="0" xfId="0" applyAlignment="1" applyBorder="1" applyFill="1" applyFont="1">
      <alignment vertical="bottom"/>
    </xf>
    <xf borderId="13" fillId="0" fontId="7" numFmtId="0" xfId="0" applyBorder="1" applyFont="1"/>
    <xf borderId="14" fillId="0" fontId="7" numFmtId="0" xfId="0" applyBorder="1" applyFont="1"/>
    <xf borderId="11" fillId="4" fontId="11" numFmtId="0" xfId="0" applyAlignment="1" applyBorder="1" applyFill="1" applyFont="1">
      <alignment horizontal="center" shrinkToFit="0" vertical="bottom" wrapText="0"/>
    </xf>
    <xf borderId="11" fillId="4" fontId="11" numFmtId="164" xfId="0" applyAlignment="1" applyBorder="1" applyFill="1" applyFont="1" applyNumberFormat="1">
      <alignment horizontal="center" shrinkToFit="0" vertical="bottom" wrapText="0"/>
    </xf>
    <xf borderId="11" fillId="4" fontId="11" numFmtId="3" xfId="0" applyAlignment="1" applyBorder="1" applyFill="1" applyFont="1" applyNumberFormat="1">
      <alignment horizontal="center" shrinkToFit="0" vertical="bottom" wrapText="0"/>
    </xf>
    <xf borderId="0" fillId="0" fontId="13" numFmtId="0" xfId="0" applyFont="1"/>
    <xf borderId="15" fillId="0" fontId="8" numFmtId="0" xfId="0" applyAlignment="1" applyBorder="1" applyFont="1">
      <alignment horizontal="center" readingOrder="0"/>
    </xf>
    <xf borderId="15" fillId="0" fontId="8" numFmtId="0" xfId="0" applyAlignment="1" applyBorder="1" applyFont="1">
      <alignment readingOrder="0"/>
    </xf>
    <xf borderId="15" fillId="0" fontId="8" numFmtId="0" xfId="0" applyAlignment="1" applyBorder="1" applyFont="1">
      <alignment horizontal="left" readingOrder="0" shrinkToFit="0" wrapText="1"/>
    </xf>
    <xf borderId="15" fillId="0" fontId="8" numFmtId="165" xfId="0" applyAlignment="1" applyBorder="1" applyFont="1" applyNumberFormat="1">
      <alignment horizontal="right" readingOrder="0"/>
    </xf>
    <xf borderId="15" fillId="0" fontId="8" numFmtId="0" xfId="0" applyAlignment="1" applyBorder="1" applyFont="1">
      <alignment horizontal="center" readingOrder="0" shrinkToFit="0" wrapText="1"/>
    </xf>
    <xf borderId="15" fillId="0" fontId="8" numFmtId="0" xfId="0" applyAlignment="1" applyBorder="1" applyFont="1">
      <alignment horizontal="center" vertical="bottom"/>
    </xf>
    <xf borderId="15" fillId="0" fontId="8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horizontal="center" shrinkToFit="0" vertical="bottom" wrapText="0"/>
    </xf>
    <xf borderId="15" fillId="0" fontId="8" numFmtId="0" xfId="0" applyAlignment="1" applyBorder="1" applyFont="1">
      <alignment shrinkToFit="0" wrapText="1"/>
    </xf>
    <xf borderId="15" fillId="0" fontId="8" numFmtId="166" xfId="0" applyAlignment="1" applyBorder="1" applyFont="1" applyNumberFormat="1">
      <alignment horizontal="left"/>
    </xf>
    <xf borderId="15" fillId="0" fontId="8" numFmtId="165" xfId="0" applyAlignment="1" applyBorder="1" applyFont="1" applyNumberFormat="1">
      <alignment horizontal="right"/>
    </xf>
    <xf borderId="11" fillId="0" fontId="11" numFmtId="9" xfId="0" applyAlignment="1" applyBorder="1" applyFont="1" applyNumberFormat="1">
      <alignment horizontal="center" shrinkToFit="0" vertical="bottom" wrapText="0"/>
    </xf>
    <xf borderId="11" fillId="0" fontId="11" numFmtId="164" xfId="0" applyAlignment="1" applyBorder="1" applyFont="1" applyNumberFormat="1">
      <alignment horizontal="center" shrinkToFit="0" vertical="bottom" wrapText="0"/>
    </xf>
    <xf borderId="15" fillId="0" fontId="8" numFmtId="0" xfId="0" applyAlignment="1" applyBorder="1" applyFont="1">
      <alignment horizontal="left" readingOrder="0"/>
    </xf>
    <xf borderId="11" fillId="0" fontId="11" numFmtId="0" xfId="0" applyAlignment="1" applyBorder="1" applyFont="1">
      <alignment horizontal="center" readingOrder="0" shrinkToFit="0" vertical="bottom" wrapText="0"/>
    </xf>
    <xf borderId="15" fillId="0" fontId="8" numFmtId="167" xfId="0" applyAlignment="1" applyBorder="1" applyFont="1" applyNumberFormat="1">
      <alignment horizontal="center" vertical="bottom"/>
    </xf>
    <xf borderId="15" fillId="0" fontId="14" numFmtId="0" xfId="0" applyBorder="1" applyFont="1"/>
    <xf borderId="15" fillId="0" fontId="14" numFmtId="0" xfId="0" applyAlignment="1" applyBorder="1" applyFont="1">
      <alignment readingOrder="0" shrinkToFit="0" wrapText="1"/>
    </xf>
    <xf borderId="15" fillId="0" fontId="8" numFmtId="166" xfId="0" applyBorder="1" applyFont="1" applyNumberFormat="1"/>
    <xf borderId="11" fillId="4" fontId="11" numFmtId="9" xfId="0" applyAlignment="1" applyBorder="1" applyFill="1" applyFont="1" applyNumberFormat="1">
      <alignment horizontal="center" shrinkToFit="0" vertical="bottom" wrapText="0"/>
    </xf>
    <xf borderId="12" fillId="7" fontId="12" numFmtId="0" xfId="0" applyAlignment="1" applyBorder="1" applyFill="1" applyFont="1">
      <alignment readingOrder="0" vertical="bottom"/>
    </xf>
    <xf borderId="0" fillId="0" fontId="15" numFmtId="0" xfId="0" applyAlignment="1" applyFont="1">
      <alignment horizontal="left" shrinkToFit="0" vertical="bottom" wrapText="1"/>
    </xf>
    <xf borderId="11" fillId="0" fontId="5" numFmtId="0" xfId="0" applyAlignment="1" applyBorder="1" applyFont="1">
      <alignment horizontal="center" readingOrder="0" shrinkToFit="0" vertical="bottom" wrapText="1"/>
    </xf>
    <xf borderId="11" fillId="0" fontId="5" numFmtId="0" xfId="0" applyAlignment="1" applyBorder="1" applyFont="1">
      <alignment readingOrder="0" shrinkToFit="0" vertical="bottom" wrapText="1"/>
    </xf>
    <xf borderId="11" fillId="0" fontId="5" numFmtId="168" xfId="0" applyAlignment="1" applyBorder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1" fillId="0" fontId="5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vertical="bottom"/>
    </xf>
    <xf borderId="16" fillId="0" fontId="1" numFmtId="0" xfId="0" applyAlignment="1" applyBorder="1" applyFont="1">
      <alignment vertical="bottom"/>
    </xf>
    <xf borderId="11" fillId="0" fontId="8" numFmtId="0" xfId="0" applyAlignment="1" applyBorder="1" applyFont="1">
      <alignment horizontal="center" readingOrder="0" shrinkToFit="0" vertical="bottom" wrapText="1"/>
    </xf>
    <xf borderId="11" fillId="0" fontId="8" numFmtId="0" xfId="0" applyAlignment="1" applyBorder="1" applyFont="1">
      <alignment readingOrder="0" shrinkToFit="0" vertical="bottom" wrapText="1"/>
    </xf>
    <xf borderId="11" fillId="0" fontId="8" numFmtId="0" xfId="0" applyAlignment="1" applyBorder="1" applyFont="1">
      <alignment shrinkToFit="0" vertical="bottom" wrapText="1"/>
    </xf>
    <xf borderId="11" fillId="0" fontId="8" numFmtId="0" xfId="0" applyAlignment="1" applyBorder="1" applyFont="1">
      <alignment horizontal="center" shrinkToFit="0" vertical="bottom" wrapText="1"/>
    </xf>
    <xf borderId="11" fillId="0" fontId="1" numFmtId="169" xfId="0" applyAlignment="1" applyBorder="1" applyFont="1" applyNumberFormat="1">
      <alignment vertical="bottom"/>
    </xf>
    <xf borderId="11" fillId="0" fontId="1" numFmtId="164" xfId="0" applyAlignment="1" applyBorder="1" applyFont="1" applyNumberFormat="1">
      <alignment vertical="bottom"/>
    </xf>
    <xf borderId="11" fillId="0" fontId="1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5" fillId="0" fontId="14" numFmtId="0" xfId="0" applyAlignment="1" applyBorder="1" applyFont="1">
      <alignment vertical="bottom"/>
    </xf>
    <xf borderId="15" fillId="0" fontId="14" numFmtId="0" xfId="0" applyAlignment="1" applyBorder="1" applyFont="1">
      <alignment readingOrder="0" shrinkToFit="0" vertical="bottom" wrapText="1"/>
    </xf>
    <xf borderId="15" fillId="0" fontId="8" numFmtId="166" xfId="0" applyAlignment="1" applyBorder="1" applyFont="1" applyNumberFormat="1">
      <alignment vertical="bottom"/>
    </xf>
    <xf borderId="15" fillId="0" fontId="8" numFmtId="0" xfId="0" applyAlignment="1" applyBorder="1" applyFont="1">
      <alignment readingOrder="0" shrinkToFit="0" vertical="bottom" wrapText="1"/>
    </xf>
    <xf borderId="11" fillId="4" fontId="1" numFmtId="9" xfId="0" applyAlignment="1" applyBorder="1" applyFill="1" applyFont="1" applyNumberFormat="1">
      <alignment vertical="bottom"/>
    </xf>
    <xf borderId="11" fillId="4" fontId="1" numFmtId="169" xfId="0" applyAlignment="1" applyBorder="1" applyFill="1" applyFont="1" applyNumberFormat="1">
      <alignment vertical="bottom"/>
    </xf>
    <xf borderId="11" fillId="4" fontId="1" numFmtId="0" xfId="0" applyAlignment="1" applyBorder="1" applyFill="1" applyFont="1">
      <alignment vertical="bottom"/>
    </xf>
    <xf borderId="11" fillId="4" fontId="1" numFmtId="3" xfId="0" applyAlignment="1" applyBorder="1" applyFill="1" applyFont="1" applyNumberFormat="1">
      <alignment vertical="bottom"/>
    </xf>
    <xf borderId="16" fillId="0" fontId="8" numFmtId="0" xfId="0" applyAlignment="1" applyBorder="1" applyFont="1">
      <alignment vertical="bottom"/>
    </xf>
    <xf borderId="11" fillId="0" fontId="8" numFmtId="0" xfId="0" applyAlignment="1" applyBorder="1" applyFont="1">
      <alignment shrinkToFit="0" vertical="bottom" wrapText="1"/>
    </xf>
    <xf borderId="11" fillId="0" fontId="8" numFmtId="170" xfId="0" applyAlignment="1" applyBorder="1" applyFont="1" applyNumberFormat="1">
      <alignment horizontal="center" readingOrder="0" shrinkToFit="0" vertical="bottom" wrapText="1"/>
    </xf>
    <xf borderId="11" fillId="0" fontId="8" numFmtId="0" xfId="0" applyAlignment="1" applyBorder="1" applyFont="1">
      <alignment horizontal="center" shrinkToFit="0" vertical="bottom" wrapText="1"/>
    </xf>
    <xf borderId="11" fillId="0" fontId="8" numFmtId="0" xfId="0" applyAlignment="1" applyBorder="1" applyFont="1">
      <alignment vertical="bottom"/>
    </xf>
    <xf borderId="11" fillId="0" fontId="1" numFmtId="9" xfId="0" applyAlignment="1" applyBorder="1" applyFont="1" applyNumberFormat="1">
      <alignment vertical="bottom"/>
    </xf>
    <xf borderId="11" fillId="0" fontId="16" numFmtId="0" xfId="0" applyAlignment="1" applyBorder="1" applyFont="1">
      <alignment shrinkToFit="0" vertical="bottom" wrapText="1"/>
    </xf>
    <xf borderId="15" fillId="0" fontId="8" numFmtId="9" xfId="0" applyAlignment="1" applyBorder="1" applyFont="1" applyNumberFormat="1">
      <alignment shrinkToFit="0" vertical="bottom" wrapText="1"/>
    </xf>
    <xf borderId="11" fillId="0" fontId="16" numFmtId="0" xfId="0" applyAlignment="1" applyBorder="1" applyFont="1">
      <alignment readingOrder="0" shrinkToFit="0" vertical="bottom" wrapText="1"/>
    </xf>
    <xf borderId="11" fillId="0" fontId="8" numFmtId="170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63"/>
    <col customWidth="1" min="2" max="2" width="5.0"/>
    <col customWidth="1" min="3" max="3" width="8.38"/>
    <col customWidth="1" min="4" max="4" width="33.25"/>
    <col customWidth="1" min="5" max="5" width="13.13"/>
    <col customWidth="1" min="6" max="6" width="11.38"/>
    <col customWidth="1" min="7" max="7" width="10.63"/>
    <col customWidth="1" min="8" max="8" width="11.38"/>
    <col customWidth="1" min="9" max="9" width="13.13"/>
    <col customWidth="1" min="10" max="10" width="17.63"/>
    <col customWidth="1" min="11" max="11" width="13.38"/>
    <col customWidth="1" min="12" max="12" width="35.38"/>
    <col customWidth="1" min="13" max="37" width="2.88"/>
    <col customWidth="1" min="38" max="38" width="2.63"/>
  </cols>
  <sheetData>
    <row r="1" ht="9.7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4" t="s">
        <v>0</v>
      </c>
      <c r="L1" s="3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5"/>
      <c r="AL1" s="1"/>
    </row>
    <row r="2" ht="17.25" customHeight="1">
      <c r="A2" s="1"/>
      <c r="B2" s="1"/>
      <c r="C2" s="1"/>
      <c r="D2" s="6" t="s">
        <v>1</v>
      </c>
      <c r="E2" s="7" t="s">
        <v>2</v>
      </c>
      <c r="F2" s="8"/>
      <c r="G2" s="8"/>
      <c r="H2" s="8"/>
      <c r="I2" s="8"/>
      <c r="J2" s="8"/>
      <c r="K2" s="8"/>
      <c r="L2" s="9"/>
      <c r="M2" s="6" t="s">
        <v>3</v>
      </c>
      <c r="N2" s="10"/>
      <c r="O2" s="10"/>
      <c r="P2" s="10"/>
      <c r="Q2" s="10"/>
      <c r="R2" s="10"/>
      <c r="S2" s="10"/>
      <c r="T2" s="10"/>
      <c r="U2" s="11"/>
      <c r="V2" s="12" t="s">
        <v>4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1"/>
    </row>
    <row r="3" ht="17.25" customHeight="1">
      <c r="A3" s="1"/>
      <c r="B3" s="1"/>
      <c r="C3" s="1"/>
      <c r="D3" s="6" t="s">
        <v>5</v>
      </c>
      <c r="E3" s="7" t="s">
        <v>6</v>
      </c>
      <c r="F3" s="8"/>
      <c r="G3" s="8"/>
      <c r="H3" s="8"/>
      <c r="I3" s="8"/>
      <c r="J3" s="8"/>
      <c r="K3" s="8"/>
      <c r="L3" s="9"/>
      <c r="M3" s="6" t="s">
        <v>7</v>
      </c>
      <c r="N3" s="10"/>
      <c r="O3" s="10"/>
      <c r="P3" s="10"/>
      <c r="Q3" s="10"/>
      <c r="R3" s="10"/>
      <c r="S3" s="10"/>
      <c r="T3" s="10"/>
      <c r="U3" s="11"/>
      <c r="V3" s="13" t="s">
        <v>8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  <c r="AL3" s="1"/>
    </row>
    <row r="4" ht="6.75" customHeight="1">
      <c r="A4" s="1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"/>
    </row>
    <row r="5" ht="15.75" customHeight="1">
      <c r="A5" s="1"/>
      <c r="B5" s="15" t="s">
        <v>9</v>
      </c>
      <c r="C5" s="16" t="s">
        <v>10</v>
      </c>
      <c r="D5" s="17" t="s">
        <v>11</v>
      </c>
      <c r="E5" s="17" t="s">
        <v>12</v>
      </c>
      <c r="F5" s="17" t="s">
        <v>13</v>
      </c>
      <c r="G5" s="17" t="s">
        <v>14</v>
      </c>
      <c r="H5" s="18" t="s">
        <v>15</v>
      </c>
      <c r="I5" s="16" t="s">
        <v>16</v>
      </c>
      <c r="J5" s="16" t="s">
        <v>17</v>
      </c>
      <c r="K5" s="16" t="s">
        <v>18</v>
      </c>
      <c r="L5" s="16" t="s">
        <v>19</v>
      </c>
      <c r="M5" s="19" t="s">
        <v>20</v>
      </c>
      <c r="N5" s="20"/>
      <c r="O5" s="20"/>
      <c r="P5" s="20"/>
      <c r="Q5" s="21"/>
      <c r="R5" s="19" t="s">
        <v>21</v>
      </c>
      <c r="S5" s="20"/>
      <c r="T5" s="20"/>
      <c r="U5" s="20"/>
      <c r="V5" s="21"/>
      <c r="W5" s="19" t="s">
        <v>22</v>
      </c>
      <c r="X5" s="20"/>
      <c r="Y5" s="20"/>
      <c r="Z5" s="20"/>
      <c r="AA5" s="21"/>
      <c r="AB5" s="19" t="s">
        <v>23</v>
      </c>
      <c r="AC5" s="20"/>
      <c r="AD5" s="20"/>
      <c r="AE5" s="20"/>
      <c r="AF5" s="21"/>
      <c r="AG5" s="19" t="s">
        <v>24</v>
      </c>
      <c r="AH5" s="20"/>
      <c r="AI5" s="20"/>
      <c r="AJ5" s="20"/>
      <c r="AK5" s="21"/>
      <c r="AL5" s="1"/>
    </row>
    <row r="6" ht="27.75" customHeight="1">
      <c r="A6" s="1"/>
      <c r="C6" s="22"/>
      <c r="D6" s="23"/>
      <c r="E6" s="23"/>
      <c r="F6" s="23"/>
      <c r="G6" s="23"/>
      <c r="H6" s="23"/>
      <c r="I6" s="22"/>
      <c r="J6" s="22"/>
      <c r="K6" s="22"/>
      <c r="L6" s="22"/>
      <c r="M6" s="24" t="s">
        <v>25</v>
      </c>
      <c r="N6" s="24" t="s">
        <v>26</v>
      </c>
      <c r="O6" s="24" t="s">
        <v>27</v>
      </c>
      <c r="P6" s="25" t="s">
        <v>28</v>
      </c>
      <c r="Q6" s="24" t="s">
        <v>29</v>
      </c>
      <c r="R6" s="24" t="s">
        <v>25</v>
      </c>
      <c r="S6" s="24" t="s">
        <v>26</v>
      </c>
      <c r="T6" s="24" t="s">
        <v>27</v>
      </c>
      <c r="U6" s="24" t="s">
        <v>30</v>
      </c>
      <c r="V6" s="24" t="s">
        <v>29</v>
      </c>
      <c r="W6" s="24" t="s">
        <v>25</v>
      </c>
      <c r="X6" s="24" t="s">
        <v>26</v>
      </c>
      <c r="Y6" s="24" t="s">
        <v>27</v>
      </c>
      <c r="Z6" s="24" t="s">
        <v>30</v>
      </c>
      <c r="AA6" s="24" t="s">
        <v>29</v>
      </c>
      <c r="AB6" s="24" t="s">
        <v>25</v>
      </c>
      <c r="AC6" s="24" t="s">
        <v>26</v>
      </c>
      <c r="AD6" s="24" t="s">
        <v>27</v>
      </c>
      <c r="AE6" s="24" t="s">
        <v>30</v>
      </c>
      <c r="AF6" s="24" t="s">
        <v>29</v>
      </c>
      <c r="AG6" s="24" t="s">
        <v>25</v>
      </c>
      <c r="AH6" s="24" t="s">
        <v>26</v>
      </c>
      <c r="AI6" s="24" t="s">
        <v>27</v>
      </c>
      <c r="AJ6" s="24" t="s">
        <v>30</v>
      </c>
      <c r="AK6" s="24" t="s">
        <v>29</v>
      </c>
      <c r="AL6" s="1"/>
    </row>
    <row r="7" ht="15.0" customHeight="1">
      <c r="A7" s="1"/>
      <c r="B7" s="26" t="s">
        <v>31</v>
      </c>
      <c r="C7" s="27"/>
      <c r="D7" s="27"/>
      <c r="E7" s="27"/>
      <c r="F7" s="27"/>
      <c r="G7" s="27"/>
      <c r="H7" s="27"/>
      <c r="I7" s="27"/>
      <c r="J7" s="27"/>
      <c r="K7" s="27"/>
      <c r="L7" s="28"/>
      <c r="M7" s="29"/>
      <c r="N7" s="30"/>
      <c r="O7" s="31"/>
      <c r="P7" s="31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1"/>
    </row>
    <row r="8">
      <c r="A8" s="1"/>
      <c r="B8" s="32"/>
      <c r="C8" s="33" t="s">
        <v>32</v>
      </c>
      <c r="D8" s="34" t="s">
        <v>33</v>
      </c>
      <c r="E8" s="35" t="s">
        <v>34</v>
      </c>
      <c r="F8" s="36">
        <v>46280.0</v>
      </c>
      <c r="G8" s="36">
        <v>46280.0</v>
      </c>
      <c r="H8" s="33">
        <v>1.0</v>
      </c>
      <c r="I8" s="33" t="s">
        <v>35</v>
      </c>
      <c r="J8" s="37" t="s">
        <v>36</v>
      </c>
      <c r="K8" s="38" t="s">
        <v>37</v>
      </c>
      <c r="L8" s="39" t="s">
        <v>38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1"/>
    </row>
    <row r="9">
      <c r="A9" s="1"/>
      <c r="B9" s="32"/>
      <c r="C9" s="33" t="s">
        <v>39</v>
      </c>
      <c r="D9" s="41" t="s">
        <v>40</v>
      </c>
      <c r="E9" s="42" t="s">
        <v>41</v>
      </c>
      <c r="F9" s="43">
        <v>46282.0</v>
      </c>
      <c r="G9" s="43">
        <v>46282.0</v>
      </c>
      <c r="H9" s="33">
        <v>1.0</v>
      </c>
      <c r="I9" s="33" t="s">
        <v>42</v>
      </c>
      <c r="J9" s="37" t="s">
        <v>43</v>
      </c>
      <c r="K9" s="38" t="s">
        <v>37</v>
      </c>
      <c r="L9" s="39" t="s">
        <v>44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1"/>
    </row>
    <row r="10">
      <c r="A10" s="1"/>
      <c r="B10" s="32"/>
      <c r="C10" s="33" t="s">
        <v>45</v>
      </c>
      <c r="D10" s="39" t="s">
        <v>46</v>
      </c>
      <c r="E10" s="42" t="s">
        <v>47</v>
      </c>
      <c r="F10" s="43">
        <v>46282.0</v>
      </c>
      <c r="G10" s="43">
        <v>46282.0</v>
      </c>
      <c r="H10" s="33">
        <v>1.0</v>
      </c>
      <c r="I10" s="33" t="s">
        <v>42</v>
      </c>
      <c r="J10" s="37" t="s">
        <v>48</v>
      </c>
      <c r="K10" s="38" t="s">
        <v>39</v>
      </c>
      <c r="L10" s="39" t="s">
        <v>49</v>
      </c>
      <c r="M10" s="44"/>
      <c r="N10" s="45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1"/>
    </row>
    <row r="11">
      <c r="A11" s="1"/>
      <c r="B11" s="32"/>
      <c r="C11" s="33" t="s">
        <v>50</v>
      </c>
      <c r="D11" s="39" t="s">
        <v>51</v>
      </c>
      <c r="E11" s="42" t="s">
        <v>47</v>
      </c>
      <c r="F11" s="43">
        <v>46282.0</v>
      </c>
      <c r="G11" s="43">
        <v>46282.0</v>
      </c>
      <c r="H11" s="33">
        <v>1.0</v>
      </c>
      <c r="I11" s="33" t="s">
        <v>42</v>
      </c>
      <c r="J11" s="37" t="s">
        <v>52</v>
      </c>
      <c r="K11" s="38" t="s">
        <v>39</v>
      </c>
      <c r="L11" s="39" t="s">
        <v>53</v>
      </c>
      <c r="M11" s="44"/>
      <c r="N11" s="45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1"/>
    </row>
    <row r="12">
      <c r="A12" s="1"/>
      <c r="B12" s="32"/>
      <c r="C12" s="33" t="s">
        <v>54</v>
      </c>
      <c r="D12" s="39" t="s">
        <v>55</v>
      </c>
      <c r="E12" s="46" t="s">
        <v>41</v>
      </c>
      <c r="F12" s="43">
        <v>46282.0</v>
      </c>
      <c r="G12" s="43">
        <v>46282.0</v>
      </c>
      <c r="H12" s="33">
        <v>1.0</v>
      </c>
      <c r="I12" s="33" t="s">
        <v>42</v>
      </c>
      <c r="J12" s="37" t="s">
        <v>56</v>
      </c>
      <c r="K12" s="38" t="s">
        <v>39</v>
      </c>
      <c r="L12" s="39" t="s">
        <v>57</v>
      </c>
      <c r="M12" s="44"/>
      <c r="N12" s="45"/>
      <c r="O12" s="40"/>
      <c r="P12" s="40"/>
      <c r="Q12" s="40"/>
      <c r="R12" s="40"/>
      <c r="S12" s="40"/>
      <c r="T12" s="40"/>
      <c r="U12" s="40"/>
      <c r="V12" s="47" t="s">
        <v>58</v>
      </c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1"/>
    </row>
    <row r="13">
      <c r="A13" s="1"/>
      <c r="B13" s="32"/>
      <c r="C13" s="33" t="s">
        <v>59</v>
      </c>
      <c r="D13" s="39" t="s">
        <v>60</v>
      </c>
      <c r="E13" s="46" t="s">
        <v>61</v>
      </c>
      <c r="F13" s="36">
        <v>46296.0</v>
      </c>
      <c r="G13" s="36">
        <v>46296.0</v>
      </c>
      <c r="H13" s="33">
        <v>1.0</v>
      </c>
      <c r="I13" s="33" t="s">
        <v>62</v>
      </c>
      <c r="J13" s="37" t="s">
        <v>63</v>
      </c>
      <c r="K13" s="48" t="s">
        <v>64</v>
      </c>
      <c r="L13" s="39" t="s">
        <v>65</v>
      </c>
      <c r="M13" s="44"/>
      <c r="N13" s="45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1"/>
    </row>
    <row r="14">
      <c r="A14" s="1"/>
      <c r="B14" s="32"/>
      <c r="C14" s="33" t="s">
        <v>66</v>
      </c>
      <c r="D14" s="39" t="s">
        <v>67</v>
      </c>
      <c r="E14" s="35" t="s">
        <v>68</v>
      </c>
      <c r="F14" s="36">
        <v>46296.0</v>
      </c>
      <c r="G14" s="36">
        <v>46303.0</v>
      </c>
      <c r="H14" s="33">
        <v>1.0</v>
      </c>
      <c r="I14" s="33"/>
      <c r="J14" s="37" t="s">
        <v>69</v>
      </c>
      <c r="K14" s="33" t="s">
        <v>59</v>
      </c>
      <c r="L14" s="39" t="s">
        <v>70</v>
      </c>
      <c r="M14" s="44"/>
      <c r="N14" s="45"/>
      <c r="O14" s="40"/>
      <c r="P14" s="40"/>
      <c r="Q14" s="40"/>
      <c r="R14" s="44"/>
      <c r="S14" s="45"/>
      <c r="T14" s="40"/>
      <c r="U14" s="40"/>
      <c r="V14" s="40"/>
      <c r="W14" s="44"/>
      <c r="X14" s="45"/>
      <c r="Y14" s="40"/>
      <c r="Z14" s="40"/>
      <c r="AA14" s="40"/>
      <c r="AB14" s="44"/>
      <c r="AC14" s="45"/>
      <c r="AD14" s="40"/>
      <c r="AE14" s="40"/>
      <c r="AF14" s="40"/>
      <c r="AG14" s="44"/>
      <c r="AH14" s="45"/>
      <c r="AI14" s="40"/>
      <c r="AJ14" s="40"/>
      <c r="AK14" s="40"/>
      <c r="AL14" s="1"/>
    </row>
    <row r="15">
      <c r="A15" s="1"/>
      <c r="B15" s="32"/>
      <c r="C15" s="49" t="s">
        <v>71</v>
      </c>
      <c r="D15" s="50" t="s">
        <v>72</v>
      </c>
      <c r="E15" s="51" t="s">
        <v>73</v>
      </c>
      <c r="F15" s="51" t="s">
        <v>73</v>
      </c>
      <c r="G15" s="51" t="s">
        <v>73</v>
      </c>
      <c r="H15" s="51" t="s">
        <v>73</v>
      </c>
      <c r="I15" s="51" t="s">
        <v>73</v>
      </c>
      <c r="J15" s="51" t="s">
        <v>73</v>
      </c>
      <c r="K15" s="51" t="s">
        <v>73</v>
      </c>
      <c r="L15" s="39" t="s">
        <v>74</v>
      </c>
      <c r="M15" s="52"/>
      <c r="N15" s="30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1"/>
    </row>
    <row r="16">
      <c r="A16" s="1"/>
      <c r="B16" s="53" t="s">
        <v>75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  <c r="M16" s="52"/>
      <c r="N16" s="30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1"/>
    </row>
    <row r="17">
      <c r="A17" s="1"/>
      <c r="B17" s="54"/>
      <c r="C17" s="55" t="s">
        <v>76</v>
      </c>
      <c r="D17" s="56" t="s">
        <v>77</v>
      </c>
      <c r="E17" s="56" t="s">
        <v>61</v>
      </c>
      <c r="F17" s="57">
        <v>46296.0</v>
      </c>
      <c r="G17" s="57">
        <v>46299.0</v>
      </c>
      <c r="H17" s="55">
        <v>4.0</v>
      </c>
      <c r="I17" s="55" t="s">
        <v>78</v>
      </c>
      <c r="J17" s="58" t="s">
        <v>79</v>
      </c>
      <c r="K17" s="33" t="s">
        <v>59</v>
      </c>
      <c r="L17" s="59" t="s">
        <v>80</v>
      </c>
      <c r="M17" s="44"/>
      <c r="N17" s="45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1"/>
    </row>
    <row r="18">
      <c r="A18" s="60"/>
      <c r="B18" s="61"/>
      <c r="C18" s="62" t="s">
        <v>81</v>
      </c>
      <c r="D18" s="63" t="s">
        <v>82</v>
      </c>
      <c r="E18" s="64" t="s">
        <v>41</v>
      </c>
      <c r="F18" s="57">
        <v>46297.0</v>
      </c>
      <c r="G18" s="57">
        <v>46297.0</v>
      </c>
      <c r="H18" s="65">
        <f>NETWORKDAYS(F18,G18)</f>
        <v>1</v>
      </c>
      <c r="I18" s="55"/>
      <c r="J18" s="62" t="s">
        <v>83</v>
      </c>
      <c r="K18" s="55" t="s">
        <v>76</v>
      </c>
      <c r="L18" s="63" t="s">
        <v>84</v>
      </c>
      <c r="M18" s="66"/>
      <c r="N18" s="67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0"/>
      <c r="AL18" s="1"/>
    </row>
    <row r="19" ht="15.75" customHeight="1">
      <c r="A19" s="60"/>
      <c r="B19" s="69"/>
      <c r="C19" s="70" t="s">
        <v>85</v>
      </c>
      <c r="D19" s="71" t="s">
        <v>86</v>
      </c>
      <c r="E19" s="72" t="s">
        <v>73</v>
      </c>
      <c r="F19" s="72" t="s">
        <v>73</v>
      </c>
      <c r="G19" s="72" t="s">
        <v>73</v>
      </c>
      <c r="H19" s="72" t="s">
        <v>73</v>
      </c>
      <c r="I19" s="72" t="s">
        <v>73</v>
      </c>
      <c r="J19" s="72" t="s">
        <v>73</v>
      </c>
      <c r="K19" s="72" t="s">
        <v>73</v>
      </c>
      <c r="L19" s="73" t="s">
        <v>87</v>
      </c>
      <c r="M19" s="74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60"/>
    </row>
    <row r="20" ht="15.75" customHeight="1">
      <c r="A20" s="60"/>
      <c r="B20" s="26" t="s">
        <v>88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  <c r="M20" s="76"/>
      <c r="N20" s="75"/>
      <c r="O20" s="77"/>
      <c r="P20" s="77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60"/>
    </row>
    <row r="21" ht="15.75" customHeight="1">
      <c r="A21" s="60"/>
      <c r="B21" s="78"/>
      <c r="C21" s="62" t="s">
        <v>89</v>
      </c>
      <c r="D21" s="79" t="s">
        <v>90</v>
      </c>
      <c r="E21" s="79" t="s">
        <v>34</v>
      </c>
      <c r="F21" s="80">
        <v>46304.0</v>
      </c>
      <c r="G21" s="80">
        <v>46307.0</v>
      </c>
      <c r="H21" s="81">
        <f t="shared" ref="H21:H23" si="1">NETWORKDAYS(F21,G21)</f>
        <v>2</v>
      </c>
      <c r="I21" s="82"/>
      <c r="J21" s="62" t="s">
        <v>91</v>
      </c>
      <c r="K21" s="62" t="s">
        <v>76</v>
      </c>
      <c r="L21" s="79" t="s">
        <v>92</v>
      </c>
      <c r="M21" s="83"/>
      <c r="N21" s="66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0"/>
    </row>
    <row r="22" ht="15.75" customHeight="1">
      <c r="A22" s="60"/>
      <c r="B22" s="78"/>
      <c r="C22" s="62" t="s">
        <v>93</v>
      </c>
      <c r="D22" s="79" t="s">
        <v>94</v>
      </c>
      <c r="E22" s="79" t="s">
        <v>34</v>
      </c>
      <c r="F22" s="80">
        <v>46308.0</v>
      </c>
      <c r="G22" s="80">
        <v>46308.0</v>
      </c>
      <c r="H22" s="81">
        <f t="shared" si="1"/>
        <v>1</v>
      </c>
      <c r="I22" s="82"/>
      <c r="J22" s="62" t="s">
        <v>95</v>
      </c>
      <c r="K22" s="62" t="s">
        <v>89</v>
      </c>
      <c r="L22" s="63" t="s">
        <v>96</v>
      </c>
      <c r="M22" s="83"/>
      <c r="N22" s="66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0"/>
    </row>
    <row r="23" ht="15.75" customHeight="1">
      <c r="A23" s="60"/>
      <c r="B23" s="78"/>
      <c r="C23" s="62" t="s">
        <v>97</v>
      </c>
      <c r="D23" s="79" t="s">
        <v>98</v>
      </c>
      <c r="E23" s="79" t="s">
        <v>34</v>
      </c>
      <c r="F23" s="80">
        <v>46309.0</v>
      </c>
      <c r="G23" s="80">
        <v>46309.0</v>
      </c>
      <c r="H23" s="81">
        <f t="shared" si="1"/>
        <v>1</v>
      </c>
      <c r="I23" s="82"/>
      <c r="J23" s="62" t="s">
        <v>99</v>
      </c>
      <c r="K23" s="62" t="s">
        <v>93</v>
      </c>
      <c r="L23" s="79" t="s">
        <v>100</v>
      </c>
      <c r="M23" s="83"/>
      <c r="N23" s="66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0"/>
    </row>
    <row r="24" ht="15.75" customHeight="1">
      <c r="A24" s="60"/>
      <c r="B24" s="26" t="s">
        <v>101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  <c r="M24" s="76"/>
      <c r="N24" s="75"/>
      <c r="O24" s="77"/>
      <c r="P24" s="77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60"/>
    </row>
    <row r="25">
      <c r="A25" s="60"/>
      <c r="B25" s="78"/>
      <c r="C25" s="62" t="s">
        <v>102</v>
      </c>
      <c r="D25" s="79" t="s">
        <v>103</v>
      </c>
      <c r="E25" s="79" t="s">
        <v>41</v>
      </c>
      <c r="F25" s="80">
        <v>46304.0</v>
      </c>
      <c r="G25" s="80">
        <v>46307.0</v>
      </c>
      <c r="H25" s="81">
        <f t="shared" ref="H25:H27" si="2">NETWORKDAYS(F25,G25)</f>
        <v>2</v>
      </c>
      <c r="I25" s="82"/>
      <c r="J25" s="62" t="s">
        <v>104</v>
      </c>
      <c r="K25" s="62" t="s">
        <v>76</v>
      </c>
      <c r="L25" s="63" t="s">
        <v>105</v>
      </c>
      <c r="M25" s="83"/>
      <c r="N25" s="66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0"/>
    </row>
    <row r="26" ht="15.75" customHeight="1">
      <c r="A26" s="60"/>
      <c r="B26" s="78"/>
      <c r="C26" s="62" t="s">
        <v>106</v>
      </c>
      <c r="D26" s="79" t="s">
        <v>107</v>
      </c>
      <c r="E26" s="79" t="s">
        <v>41</v>
      </c>
      <c r="F26" s="80">
        <v>46308.0</v>
      </c>
      <c r="G26" s="80">
        <v>46308.0</v>
      </c>
      <c r="H26" s="81">
        <f t="shared" si="2"/>
        <v>1</v>
      </c>
      <c r="I26" s="82"/>
      <c r="J26" s="62" t="s">
        <v>108</v>
      </c>
      <c r="K26" s="62" t="s">
        <v>102</v>
      </c>
      <c r="L26" s="84" t="s">
        <v>109</v>
      </c>
      <c r="M26" s="83"/>
      <c r="N26" s="66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0"/>
    </row>
    <row r="27" ht="15.75" customHeight="1">
      <c r="A27" s="60"/>
      <c r="B27" s="78"/>
      <c r="C27" s="62" t="s">
        <v>110</v>
      </c>
      <c r="D27" s="63" t="s">
        <v>111</v>
      </c>
      <c r="E27" s="79" t="s">
        <v>41</v>
      </c>
      <c r="F27" s="80">
        <v>46309.0</v>
      </c>
      <c r="G27" s="80">
        <v>46309.0</v>
      </c>
      <c r="H27" s="81">
        <f t="shared" si="2"/>
        <v>1</v>
      </c>
      <c r="I27" s="82"/>
      <c r="J27" s="62" t="s">
        <v>112</v>
      </c>
      <c r="K27" s="62" t="s">
        <v>106</v>
      </c>
      <c r="L27" s="79" t="s">
        <v>113</v>
      </c>
      <c r="M27" s="83"/>
      <c r="N27" s="66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0"/>
    </row>
    <row r="28" ht="15.75" customHeight="1">
      <c r="A28" s="60"/>
      <c r="B28" s="69"/>
      <c r="C28" s="70" t="s">
        <v>114</v>
      </c>
      <c r="D28" s="71" t="s">
        <v>115</v>
      </c>
      <c r="E28" s="72" t="s">
        <v>73</v>
      </c>
      <c r="F28" s="72" t="s">
        <v>73</v>
      </c>
      <c r="G28" s="72" t="s">
        <v>73</v>
      </c>
      <c r="H28" s="72" t="s">
        <v>73</v>
      </c>
      <c r="I28" s="72" t="s">
        <v>73</v>
      </c>
      <c r="J28" s="72" t="s">
        <v>73</v>
      </c>
      <c r="K28" s="72" t="s">
        <v>73</v>
      </c>
      <c r="L28" s="85" t="s">
        <v>116</v>
      </c>
      <c r="M28" s="74"/>
      <c r="N28" s="75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60"/>
    </row>
    <row r="29" ht="15.75" customHeight="1">
      <c r="A29" s="60"/>
      <c r="B29" s="26" t="s">
        <v>117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76"/>
      <c r="N29" s="75"/>
      <c r="O29" s="77"/>
      <c r="P29" s="77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60"/>
    </row>
    <row r="30" ht="15.75" customHeight="1">
      <c r="A30" s="60"/>
      <c r="B30" s="78"/>
      <c r="C30" s="62" t="s">
        <v>118</v>
      </c>
      <c r="D30" s="63" t="s">
        <v>119</v>
      </c>
      <c r="E30" s="79" t="s">
        <v>120</v>
      </c>
      <c r="F30" s="80">
        <v>46304.0</v>
      </c>
      <c r="G30" s="80">
        <v>46307.0</v>
      </c>
      <c r="H30" s="81">
        <f t="shared" ref="H30:H33" si="3">NETWORKDAYS(F30,G30)</f>
        <v>2</v>
      </c>
      <c r="I30" s="82"/>
      <c r="J30" s="62" t="s">
        <v>121</v>
      </c>
      <c r="K30" s="62" t="s">
        <v>76</v>
      </c>
      <c r="L30" s="63" t="s">
        <v>122</v>
      </c>
      <c r="M30" s="83"/>
      <c r="N30" s="66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0"/>
    </row>
    <row r="31" ht="15.75" customHeight="1">
      <c r="A31" s="60"/>
      <c r="B31" s="78"/>
      <c r="C31" s="62" t="s">
        <v>123</v>
      </c>
      <c r="D31" s="63" t="s">
        <v>124</v>
      </c>
      <c r="E31" s="79" t="s">
        <v>120</v>
      </c>
      <c r="F31" s="80">
        <v>46308.0</v>
      </c>
      <c r="G31" s="80">
        <v>46308.0</v>
      </c>
      <c r="H31" s="81">
        <f t="shared" si="3"/>
        <v>1</v>
      </c>
      <c r="I31" s="82"/>
      <c r="J31" s="62" t="s">
        <v>125</v>
      </c>
      <c r="K31" s="62" t="s">
        <v>118</v>
      </c>
      <c r="L31" s="79" t="s">
        <v>126</v>
      </c>
      <c r="M31" s="83"/>
      <c r="N31" s="66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0"/>
    </row>
    <row r="32" ht="15.75" customHeight="1">
      <c r="A32" s="60"/>
      <c r="B32" s="78"/>
      <c r="C32" s="62" t="s">
        <v>127</v>
      </c>
      <c r="D32" s="79" t="s">
        <v>128</v>
      </c>
      <c r="E32" s="79" t="s">
        <v>120</v>
      </c>
      <c r="F32" s="80">
        <v>46309.0</v>
      </c>
      <c r="G32" s="80">
        <v>46309.0</v>
      </c>
      <c r="H32" s="81">
        <f t="shared" si="3"/>
        <v>1</v>
      </c>
      <c r="I32" s="82"/>
      <c r="J32" s="62" t="s">
        <v>129</v>
      </c>
      <c r="K32" s="62" t="s">
        <v>123</v>
      </c>
      <c r="L32" s="86" t="s">
        <v>130</v>
      </c>
      <c r="M32" s="83"/>
      <c r="N32" s="66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0"/>
    </row>
    <row r="33" ht="15.75" customHeight="1">
      <c r="A33" s="60"/>
      <c r="B33" s="78"/>
      <c r="C33" s="62" t="s">
        <v>131</v>
      </c>
      <c r="D33" s="79" t="s">
        <v>132</v>
      </c>
      <c r="E33" s="79" t="s">
        <v>120</v>
      </c>
      <c r="F33" s="80">
        <v>46310.0</v>
      </c>
      <c r="G33" s="80">
        <v>46310.0</v>
      </c>
      <c r="H33" s="81">
        <f t="shared" si="3"/>
        <v>1</v>
      </c>
      <c r="I33" s="82"/>
      <c r="J33" s="62" t="s">
        <v>133</v>
      </c>
      <c r="K33" s="62" t="s">
        <v>127</v>
      </c>
      <c r="L33" s="79" t="s">
        <v>134</v>
      </c>
      <c r="M33" s="83"/>
      <c r="N33" s="66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0"/>
    </row>
    <row r="34" ht="15.75" customHeight="1">
      <c r="A34" s="60"/>
      <c r="B34" s="26" t="s">
        <v>135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  <c r="M34" s="76"/>
      <c r="N34" s="75"/>
      <c r="O34" s="77"/>
      <c r="P34" s="77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60"/>
    </row>
    <row r="35" ht="15.75" customHeight="1">
      <c r="A35" s="60"/>
      <c r="B35" s="78"/>
      <c r="C35" s="62" t="s">
        <v>136</v>
      </c>
      <c r="D35" s="79" t="s">
        <v>137</v>
      </c>
      <c r="E35" s="79" t="s">
        <v>47</v>
      </c>
      <c r="F35" s="80">
        <v>46304.0</v>
      </c>
      <c r="G35" s="80">
        <v>46307.0</v>
      </c>
      <c r="H35" s="81">
        <f t="shared" ref="H35:H37" si="4">NETWORKDAYS(F35,G35)</f>
        <v>2</v>
      </c>
      <c r="I35" s="82"/>
      <c r="J35" s="62" t="s">
        <v>138</v>
      </c>
      <c r="K35" s="62" t="s">
        <v>76</v>
      </c>
      <c r="L35" s="63" t="s">
        <v>139</v>
      </c>
      <c r="M35" s="83"/>
      <c r="N35" s="66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0"/>
    </row>
    <row r="36" ht="15.75" customHeight="1">
      <c r="A36" s="60"/>
      <c r="B36" s="78"/>
      <c r="C36" s="62" t="s">
        <v>140</v>
      </c>
      <c r="D36" s="79" t="s">
        <v>141</v>
      </c>
      <c r="E36" s="79" t="s">
        <v>47</v>
      </c>
      <c r="F36" s="80">
        <v>46308.0</v>
      </c>
      <c r="G36" s="80">
        <v>46308.0</v>
      </c>
      <c r="H36" s="81">
        <f t="shared" si="4"/>
        <v>1</v>
      </c>
      <c r="I36" s="82"/>
      <c r="J36" s="62" t="s">
        <v>142</v>
      </c>
      <c r="K36" s="62" t="s">
        <v>136</v>
      </c>
      <c r="L36" s="79" t="s">
        <v>143</v>
      </c>
      <c r="M36" s="83"/>
      <c r="N36" s="66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0"/>
    </row>
    <row r="37" ht="15.75" customHeight="1">
      <c r="A37" s="60"/>
      <c r="B37" s="78"/>
      <c r="C37" s="62" t="s">
        <v>144</v>
      </c>
      <c r="D37" s="79" t="s">
        <v>145</v>
      </c>
      <c r="E37" s="79" t="s">
        <v>47</v>
      </c>
      <c r="F37" s="80">
        <v>46309.0</v>
      </c>
      <c r="G37" s="80">
        <v>46309.0</v>
      </c>
      <c r="H37" s="81">
        <f t="shared" si="4"/>
        <v>1</v>
      </c>
      <c r="I37" s="82"/>
      <c r="J37" s="62" t="s">
        <v>146</v>
      </c>
      <c r="K37" s="62" t="s">
        <v>140</v>
      </c>
      <c r="L37" s="79" t="s">
        <v>147</v>
      </c>
      <c r="M37" s="83"/>
      <c r="N37" s="66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0"/>
    </row>
    <row r="38" ht="15.75" customHeight="1">
      <c r="A38" s="60"/>
      <c r="B38" s="69"/>
      <c r="C38" s="70" t="s">
        <v>148</v>
      </c>
      <c r="D38" s="71" t="s">
        <v>149</v>
      </c>
      <c r="E38" s="72" t="s">
        <v>73</v>
      </c>
      <c r="F38" s="72" t="s">
        <v>73</v>
      </c>
      <c r="G38" s="72" t="s">
        <v>73</v>
      </c>
      <c r="H38" s="72" t="s">
        <v>73</v>
      </c>
      <c r="I38" s="72" t="s">
        <v>73</v>
      </c>
      <c r="J38" s="72" t="s">
        <v>73</v>
      </c>
      <c r="K38" s="72" t="s">
        <v>73</v>
      </c>
      <c r="L38" s="85" t="s">
        <v>150</v>
      </c>
      <c r="M38" s="74"/>
      <c r="N38" s="75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60"/>
    </row>
    <row r="39" ht="15.75" customHeight="1">
      <c r="A39" s="60"/>
      <c r="B39" s="26" t="s">
        <v>151</v>
      </c>
      <c r="C39" s="27"/>
      <c r="D39" s="27"/>
      <c r="E39" s="27"/>
      <c r="F39" s="27"/>
      <c r="G39" s="27"/>
      <c r="H39" s="27"/>
      <c r="I39" s="27"/>
      <c r="J39" s="27"/>
      <c r="K39" s="27"/>
      <c r="L39" s="28"/>
      <c r="M39" s="76"/>
      <c r="N39" s="75"/>
      <c r="O39" s="77"/>
      <c r="P39" s="77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60"/>
    </row>
    <row r="40" ht="15.75" customHeight="1">
      <c r="A40" s="60"/>
      <c r="B40" s="78"/>
      <c r="C40" s="62" t="s">
        <v>152</v>
      </c>
      <c r="D40" s="79" t="s">
        <v>153</v>
      </c>
      <c r="E40" s="79" t="s">
        <v>47</v>
      </c>
      <c r="F40" s="80">
        <v>46310.0</v>
      </c>
      <c r="G40" s="80">
        <v>46310.0</v>
      </c>
      <c r="H40" s="81">
        <f t="shared" ref="H40:H41" si="5">NETWORKDAYS(F40,G40)</f>
        <v>1</v>
      </c>
      <c r="I40" s="82"/>
      <c r="J40" s="62" t="s">
        <v>154</v>
      </c>
      <c r="K40" s="62" t="s">
        <v>144</v>
      </c>
      <c r="L40" s="79" t="s">
        <v>155</v>
      </c>
      <c r="M40" s="83"/>
      <c r="N40" s="66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0"/>
    </row>
    <row r="41" ht="15.75" customHeight="1">
      <c r="A41" s="60"/>
      <c r="B41" s="78"/>
      <c r="C41" s="62" t="s">
        <v>156</v>
      </c>
      <c r="D41" s="79" t="s">
        <v>157</v>
      </c>
      <c r="E41" s="79" t="s">
        <v>47</v>
      </c>
      <c r="F41" s="80">
        <v>46310.0</v>
      </c>
      <c r="G41" s="87">
        <v>46310.0</v>
      </c>
      <c r="H41" s="81">
        <f t="shared" si="5"/>
        <v>1</v>
      </c>
      <c r="I41" s="82"/>
      <c r="J41" s="62" t="s">
        <v>158</v>
      </c>
      <c r="K41" s="62" t="s">
        <v>152</v>
      </c>
      <c r="L41" s="79" t="s">
        <v>159</v>
      </c>
      <c r="M41" s="83"/>
      <c r="N41" s="66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0"/>
    </row>
    <row r="42" ht="15.75" customHeight="1">
      <c r="A42" s="60"/>
      <c r="B42" s="69"/>
      <c r="C42" s="70" t="s">
        <v>160</v>
      </c>
      <c r="D42" s="71" t="s">
        <v>161</v>
      </c>
      <c r="E42" s="72" t="s">
        <v>73</v>
      </c>
      <c r="F42" s="72" t="s">
        <v>73</v>
      </c>
      <c r="G42" s="72" t="s">
        <v>73</v>
      </c>
      <c r="H42" s="72" t="s">
        <v>73</v>
      </c>
      <c r="I42" s="72" t="s">
        <v>73</v>
      </c>
      <c r="J42" s="72" t="s">
        <v>73</v>
      </c>
      <c r="K42" s="72" t="s">
        <v>73</v>
      </c>
      <c r="L42" s="85" t="s">
        <v>162</v>
      </c>
      <c r="M42" s="74"/>
      <c r="N42" s="75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60"/>
    </row>
    <row r="43" ht="15.75" customHeight="1">
      <c r="A43" s="60"/>
      <c r="B43" s="26" t="s">
        <v>163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  <c r="M43" s="76"/>
      <c r="N43" s="75"/>
      <c r="O43" s="77"/>
      <c r="P43" s="77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60"/>
    </row>
    <row r="44" ht="15.75" customHeight="1">
      <c r="A44" s="60"/>
      <c r="B44" s="78"/>
      <c r="C44" s="62" t="s">
        <v>164</v>
      </c>
      <c r="D44" s="79" t="s">
        <v>165</v>
      </c>
      <c r="E44" s="79" t="s">
        <v>61</v>
      </c>
      <c r="F44" s="80">
        <v>46311.0</v>
      </c>
      <c r="G44" s="80">
        <v>46314.0</v>
      </c>
      <c r="H44" s="81">
        <f t="shared" ref="H44:H46" si="6">NETWORKDAYS(F44,G44)</f>
        <v>2</v>
      </c>
      <c r="I44" s="82"/>
      <c r="J44" s="62" t="s">
        <v>166</v>
      </c>
      <c r="K44" s="62" t="s">
        <v>156</v>
      </c>
      <c r="L44" s="79" t="s">
        <v>167</v>
      </c>
      <c r="M44" s="83"/>
      <c r="N44" s="66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0"/>
    </row>
    <row r="45" ht="15.75" customHeight="1">
      <c r="A45" s="60"/>
      <c r="B45" s="78"/>
      <c r="C45" s="62" t="s">
        <v>168</v>
      </c>
      <c r="D45" s="79" t="s">
        <v>169</v>
      </c>
      <c r="E45" s="79" t="s">
        <v>120</v>
      </c>
      <c r="F45" s="80">
        <v>46311.0</v>
      </c>
      <c r="G45" s="80">
        <v>46314.0</v>
      </c>
      <c r="H45" s="81">
        <f t="shared" si="6"/>
        <v>2</v>
      </c>
      <c r="I45" s="82"/>
      <c r="J45" s="62" t="s">
        <v>170</v>
      </c>
      <c r="K45" s="62" t="s">
        <v>164</v>
      </c>
      <c r="L45" s="79" t="s">
        <v>171</v>
      </c>
      <c r="M45" s="83"/>
      <c r="N45" s="66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0"/>
    </row>
    <row r="46" ht="15.75" customHeight="1">
      <c r="A46" s="60"/>
      <c r="B46" s="78"/>
      <c r="C46" s="62" t="s">
        <v>172</v>
      </c>
      <c r="D46" s="79" t="s">
        <v>173</v>
      </c>
      <c r="E46" s="79" t="s">
        <v>41</v>
      </c>
      <c r="F46" s="80">
        <v>46314.0</v>
      </c>
      <c r="G46" s="80">
        <v>46315.0</v>
      </c>
      <c r="H46" s="81">
        <f t="shared" si="6"/>
        <v>2</v>
      </c>
      <c r="I46" s="82"/>
      <c r="J46" s="62" t="s">
        <v>174</v>
      </c>
      <c r="K46" s="62" t="s">
        <v>168</v>
      </c>
      <c r="L46" s="79" t="s">
        <v>175</v>
      </c>
      <c r="M46" s="83"/>
      <c r="N46" s="66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0"/>
    </row>
    <row r="47" ht="15.75" customHeight="1">
      <c r="A47" s="60"/>
      <c r="B47" s="69"/>
      <c r="C47" s="70" t="s">
        <v>176</v>
      </c>
      <c r="D47" s="71" t="s">
        <v>177</v>
      </c>
      <c r="E47" s="72" t="s">
        <v>73</v>
      </c>
      <c r="F47" s="72" t="s">
        <v>73</v>
      </c>
      <c r="G47" s="72" t="s">
        <v>73</v>
      </c>
      <c r="H47" s="72" t="s">
        <v>73</v>
      </c>
      <c r="I47" s="72" t="s">
        <v>73</v>
      </c>
      <c r="J47" s="72" t="s">
        <v>73</v>
      </c>
      <c r="K47" s="72" t="s">
        <v>73</v>
      </c>
      <c r="L47" s="85" t="s">
        <v>178</v>
      </c>
      <c r="M47" s="74"/>
      <c r="N47" s="75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60"/>
    </row>
    <row r="48" ht="15.75" customHeight="1">
      <c r="A48" s="1"/>
      <c r="B48" s="1"/>
      <c r="C48" s="1"/>
      <c r="D48" s="1"/>
      <c r="E48" s="1"/>
      <c r="F48" s="1"/>
      <c r="G48" s="1"/>
      <c r="H48" s="88"/>
      <c r="I48" s="88"/>
      <c r="J48" s="88"/>
      <c r="K48" s="88"/>
      <c r="L48" s="8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5.75" customHeight="1">
      <c r="A49" s="1"/>
      <c r="B49" s="1"/>
      <c r="C49" s="1"/>
      <c r="D49" s="1"/>
      <c r="E49" s="1"/>
      <c r="F49" s="1"/>
      <c r="G49" s="1"/>
      <c r="H49" s="88"/>
      <c r="I49" s="88"/>
      <c r="J49" s="88"/>
      <c r="K49" s="88"/>
      <c r="L49" s="8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5.75" customHeight="1">
      <c r="A50" s="1"/>
      <c r="B50" s="1"/>
      <c r="C50" s="1"/>
      <c r="D50" s="1"/>
      <c r="E50" s="1"/>
      <c r="F50" s="1"/>
      <c r="G50" s="1"/>
      <c r="H50" s="88"/>
      <c r="I50" s="88"/>
      <c r="J50" s="88"/>
      <c r="K50" s="88"/>
      <c r="L50" s="8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5.75" customHeight="1">
      <c r="A51" s="1"/>
      <c r="B51" s="1"/>
      <c r="C51" s="1"/>
      <c r="D51" s="1"/>
      <c r="E51" s="1"/>
      <c r="F51" s="1"/>
      <c r="G51" s="1"/>
      <c r="H51" s="88"/>
      <c r="I51" s="88"/>
      <c r="J51" s="88"/>
      <c r="K51" s="88"/>
      <c r="L51" s="8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5.75" customHeight="1">
      <c r="A52" s="1"/>
      <c r="B52" s="1"/>
      <c r="C52" s="1"/>
      <c r="D52" s="1"/>
      <c r="E52" s="1"/>
      <c r="F52" s="1"/>
      <c r="G52" s="1"/>
      <c r="H52" s="88"/>
      <c r="I52" s="88"/>
      <c r="J52" s="88"/>
      <c r="K52" s="88"/>
      <c r="L52" s="8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5.75" customHeight="1">
      <c r="A53" s="1"/>
      <c r="B53" s="1"/>
      <c r="C53" s="1"/>
      <c r="D53" s="1"/>
      <c r="E53" s="1"/>
      <c r="F53" s="1"/>
      <c r="G53" s="1"/>
      <c r="H53" s="88"/>
      <c r="I53" s="88"/>
      <c r="J53" s="88"/>
      <c r="K53" s="88"/>
      <c r="L53" s="8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5.75" customHeight="1">
      <c r="A54" s="1"/>
      <c r="B54" s="1"/>
      <c r="C54" s="1"/>
      <c r="D54" s="1"/>
      <c r="E54" s="1"/>
      <c r="F54" s="1"/>
      <c r="G54" s="1"/>
      <c r="H54" s="88"/>
      <c r="I54" s="88"/>
      <c r="J54" s="88"/>
      <c r="K54" s="88"/>
      <c r="L54" s="8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5.75" customHeight="1">
      <c r="A55" s="1"/>
      <c r="B55" s="1"/>
      <c r="C55" s="1"/>
      <c r="D55" s="1"/>
      <c r="E55" s="1"/>
      <c r="F55" s="1"/>
      <c r="G55" s="1"/>
      <c r="H55" s="88"/>
      <c r="I55" s="88"/>
      <c r="J55" s="88"/>
      <c r="K55" s="88"/>
      <c r="L55" s="8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5.75" customHeight="1">
      <c r="A56" s="1"/>
      <c r="B56" s="1"/>
      <c r="C56" s="1"/>
      <c r="D56" s="1"/>
      <c r="E56" s="1"/>
      <c r="F56" s="1"/>
      <c r="G56" s="1"/>
      <c r="H56" s="88"/>
      <c r="I56" s="88"/>
      <c r="J56" s="88"/>
      <c r="K56" s="88"/>
      <c r="L56" s="8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5.75" customHeight="1">
      <c r="A57" s="1"/>
      <c r="B57" s="1"/>
      <c r="C57" s="1"/>
      <c r="D57" s="1"/>
      <c r="E57" s="1"/>
      <c r="F57" s="1"/>
      <c r="G57" s="1"/>
      <c r="H57" s="88"/>
      <c r="I57" s="88"/>
      <c r="J57" s="88"/>
      <c r="K57" s="88"/>
      <c r="L57" s="8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5.75" customHeight="1">
      <c r="A58" s="1"/>
      <c r="B58" s="1"/>
      <c r="C58" s="1"/>
      <c r="D58" s="1"/>
      <c r="E58" s="1"/>
      <c r="F58" s="1"/>
      <c r="G58" s="1"/>
      <c r="H58" s="88"/>
      <c r="I58" s="88"/>
      <c r="J58" s="88"/>
      <c r="K58" s="88"/>
      <c r="L58" s="8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5.75" customHeight="1">
      <c r="A59" s="1"/>
      <c r="B59" s="1"/>
      <c r="C59" s="1"/>
      <c r="D59" s="1"/>
      <c r="E59" s="1"/>
      <c r="F59" s="1"/>
      <c r="G59" s="1"/>
      <c r="H59" s="88"/>
      <c r="I59" s="88"/>
      <c r="J59" s="88"/>
      <c r="K59" s="88"/>
      <c r="L59" s="8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5.75" customHeight="1">
      <c r="A60" s="1"/>
      <c r="B60" s="1"/>
      <c r="C60" s="1"/>
      <c r="D60" s="1"/>
      <c r="E60" s="1"/>
      <c r="F60" s="1"/>
      <c r="G60" s="1"/>
      <c r="H60" s="88"/>
      <c r="I60" s="88"/>
      <c r="J60" s="88"/>
      <c r="K60" s="88"/>
      <c r="L60" s="8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5.75" customHeight="1">
      <c r="A61" s="1"/>
      <c r="B61" s="1"/>
      <c r="C61" s="1"/>
      <c r="D61" s="1"/>
      <c r="E61" s="1"/>
      <c r="F61" s="1"/>
      <c r="G61" s="1"/>
      <c r="H61" s="88"/>
      <c r="I61" s="88"/>
      <c r="J61" s="88"/>
      <c r="K61" s="88"/>
      <c r="L61" s="8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5.75" customHeight="1">
      <c r="A62" s="1"/>
      <c r="B62" s="1"/>
      <c r="C62" s="1"/>
      <c r="D62" s="1"/>
      <c r="E62" s="1"/>
      <c r="F62" s="1"/>
      <c r="G62" s="1"/>
      <c r="H62" s="88"/>
      <c r="I62" s="88"/>
      <c r="J62" s="88"/>
      <c r="K62" s="88"/>
      <c r="L62" s="8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5.75" customHeight="1">
      <c r="A63" s="1"/>
      <c r="B63" s="1"/>
      <c r="C63" s="1"/>
      <c r="D63" s="1"/>
      <c r="E63" s="1"/>
      <c r="F63" s="1"/>
      <c r="G63" s="1"/>
      <c r="H63" s="88"/>
      <c r="I63" s="88"/>
      <c r="J63" s="88"/>
      <c r="K63" s="88"/>
      <c r="L63" s="8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5.75" customHeight="1">
      <c r="A64" s="1"/>
      <c r="B64" s="1"/>
      <c r="C64" s="1"/>
      <c r="D64" s="1"/>
      <c r="E64" s="1"/>
      <c r="F64" s="1"/>
      <c r="G64" s="1"/>
      <c r="H64" s="88"/>
      <c r="I64" s="88"/>
      <c r="J64" s="88"/>
      <c r="K64" s="88"/>
      <c r="L64" s="8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5.75" customHeight="1">
      <c r="A65" s="1"/>
      <c r="B65" s="1"/>
      <c r="C65" s="1"/>
      <c r="D65" s="1"/>
      <c r="E65" s="1"/>
      <c r="F65" s="1"/>
      <c r="G65" s="1"/>
      <c r="H65" s="88"/>
      <c r="I65" s="88"/>
      <c r="J65" s="88"/>
      <c r="K65" s="88"/>
      <c r="L65" s="8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5.75" customHeight="1">
      <c r="A66" s="1"/>
      <c r="B66" s="1"/>
      <c r="C66" s="1"/>
      <c r="D66" s="1"/>
      <c r="E66" s="1"/>
      <c r="F66" s="1"/>
      <c r="G66" s="1"/>
      <c r="H66" s="88"/>
      <c r="I66" s="88"/>
      <c r="J66" s="88"/>
      <c r="K66" s="88"/>
      <c r="L66" s="8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5.75" customHeight="1">
      <c r="A67" s="1"/>
      <c r="B67" s="1"/>
      <c r="C67" s="1"/>
      <c r="D67" s="1"/>
      <c r="E67" s="1"/>
      <c r="F67" s="1"/>
      <c r="G67" s="1"/>
      <c r="H67" s="88"/>
      <c r="I67" s="88"/>
      <c r="J67" s="88"/>
      <c r="K67" s="88"/>
      <c r="L67" s="8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5.75" customHeight="1">
      <c r="A68" s="1"/>
      <c r="B68" s="1"/>
      <c r="C68" s="1"/>
      <c r="D68" s="1"/>
      <c r="E68" s="1"/>
      <c r="F68" s="1"/>
      <c r="G68" s="1"/>
      <c r="H68" s="88"/>
      <c r="I68" s="88"/>
      <c r="J68" s="88"/>
      <c r="K68" s="88"/>
      <c r="L68" s="8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5.75" customHeight="1">
      <c r="A69" s="1"/>
      <c r="B69" s="1"/>
      <c r="C69" s="1"/>
      <c r="D69" s="1"/>
      <c r="E69" s="1"/>
      <c r="F69" s="1"/>
      <c r="G69" s="1"/>
      <c r="H69" s="88"/>
      <c r="I69" s="88"/>
      <c r="J69" s="88"/>
      <c r="K69" s="88"/>
      <c r="L69" s="8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5.75" customHeight="1">
      <c r="A70" s="1"/>
      <c r="B70" s="1"/>
      <c r="C70" s="1"/>
      <c r="D70" s="1"/>
      <c r="E70" s="1"/>
      <c r="F70" s="1"/>
      <c r="G70" s="1"/>
      <c r="H70" s="88"/>
      <c r="I70" s="88"/>
      <c r="J70" s="88"/>
      <c r="K70" s="88"/>
      <c r="L70" s="8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5.75" customHeight="1">
      <c r="A71" s="1"/>
      <c r="B71" s="1"/>
      <c r="C71" s="1"/>
      <c r="D71" s="1"/>
      <c r="E71" s="1"/>
      <c r="F71" s="1"/>
      <c r="G71" s="1"/>
      <c r="H71" s="88"/>
      <c r="I71" s="88"/>
      <c r="J71" s="88"/>
      <c r="K71" s="88"/>
      <c r="L71" s="8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5.75" customHeight="1">
      <c r="A72" s="1"/>
      <c r="B72" s="1"/>
      <c r="C72" s="1"/>
      <c r="D72" s="1"/>
      <c r="E72" s="1"/>
      <c r="F72" s="1"/>
      <c r="G72" s="1"/>
      <c r="H72" s="88"/>
      <c r="I72" s="88"/>
      <c r="J72" s="88"/>
      <c r="K72" s="88"/>
      <c r="L72" s="8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5.75" customHeight="1">
      <c r="A73" s="1"/>
      <c r="B73" s="1"/>
      <c r="C73" s="1"/>
      <c r="D73" s="1"/>
      <c r="E73" s="1"/>
      <c r="F73" s="1"/>
      <c r="G73" s="1"/>
      <c r="H73" s="88"/>
      <c r="I73" s="88"/>
      <c r="J73" s="88"/>
      <c r="K73" s="88"/>
      <c r="L73" s="8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5.75" customHeight="1">
      <c r="A74" s="1"/>
      <c r="B74" s="1"/>
      <c r="C74" s="1"/>
      <c r="D74" s="1"/>
      <c r="E74" s="1"/>
      <c r="F74" s="1"/>
      <c r="G74" s="1"/>
      <c r="H74" s="88"/>
      <c r="I74" s="88"/>
      <c r="J74" s="88"/>
      <c r="K74" s="88"/>
      <c r="L74" s="8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5.75" customHeight="1">
      <c r="A75" s="1"/>
      <c r="B75" s="1"/>
      <c r="C75" s="1"/>
      <c r="D75" s="1"/>
      <c r="E75" s="1"/>
      <c r="F75" s="1"/>
      <c r="G75" s="1"/>
      <c r="H75" s="88"/>
      <c r="I75" s="88"/>
      <c r="J75" s="88"/>
      <c r="K75" s="88"/>
      <c r="L75" s="8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5.75" customHeight="1">
      <c r="A76" s="1"/>
      <c r="B76" s="1"/>
      <c r="C76" s="1"/>
      <c r="D76" s="1"/>
      <c r="E76" s="1"/>
      <c r="F76" s="1"/>
      <c r="G76" s="1"/>
      <c r="H76" s="88"/>
      <c r="I76" s="88"/>
      <c r="J76" s="88"/>
      <c r="K76" s="88"/>
      <c r="L76" s="8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5.75" customHeight="1">
      <c r="A77" s="1"/>
      <c r="B77" s="1"/>
      <c r="C77" s="1"/>
      <c r="D77" s="1"/>
      <c r="E77" s="1"/>
      <c r="F77" s="1"/>
      <c r="G77" s="1"/>
      <c r="H77" s="88"/>
      <c r="I77" s="88"/>
      <c r="J77" s="88"/>
      <c r="K77" s="88"/>
      <c r="L77" s="8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5.75" customHeight="1">
      <c r="A78" s="1"/>
      <c r="B78" s="1"/>
      <c r="C78" s="1"/>
      <c r="D78" s="1"/>
      <c r="E78" s="1"/>
      <c r="F78" s="1"/>
      <c r="G78" s="1"/>
      <c r="H78" s="88"/>
      <c r="I78" s="88"/>
      <c r="J78" s="88"/>
      <c r="K78" s="88"/>
      <c r="L78" s="8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5.75" customHeight="1">
      <c r="A79" s="1"/>
      <c r="B79" s="1"/>
      <c r="C79" s="1"/>
      <c r="D79" s="1"/>
      <c r="E79" s="1"/>
      <c r="F79" s="1"/>
      <c r="G79" s="1"/>
      <c r="H79" s="88"/>
      <c r="I79" s="88"/>
      <c r="J79" s="88"/>
      <c r="K79" s="88"/>
      <c r="L79" s="8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5.75" customHeight="1">
      <c r="A80" s="1"/>
      <c r="B80" s="1"/>
      <c r="C80" s="1"/>
      <c r="D80" s="1"/>
      <c r="E80" s="1"/>
      <c r="F80" s="1"/>
      <c r="G80" s="1"/>
      <c r="H80" s="88"/>
      <c r="I80" s="88"/>
      <c r="J80" s="88"/>
      <c r="K80" s="88"/>
      <c r="L80" s="8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5.75" customHeight="1">
      <c r="A81" s="1"/>
      <c r="B81" s="1"/>
      <c r="C81" s="1"/>
      <c r="D81" s="1"/>
      <c r="E81" s="1"/>
      <c r="F81" s="1"/>
      <c r="G81" s="1"/>
      <c r="H81" s="88"/>
      <c r="I81" s="88"/>
      <c r="J81" s="88"/>
      <c r="K81" s="88"/>
      <c r="L81" s="8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5.75" customHeight="1">
      <c r="A82" s="1"/>
      <c r="B82" s="1"/>
      <c r="C82" s="1"/>
      <c r="D82" s="1"/>
      <c r="E82" s="1"/>
      <c r="F82" s="1"/>
      <c r="G82" s="1"/>
      <c r="H82" s="88"/>
      <c r="I82" s="88"/>
      <c r="J82" s="88"/>
      <c r="K82" s="88"/>
      <c r="L82" s="8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5.75" customHeight="1">
      <c r="A83" s="1"/>
      <c r="B83" s="1"/>
      <c r="C83" s="1"/>
      <c r="D83" s="1"/>
      <c r="E83" s="1"/>
      <c r="F83" s="1"/>
      <c r="G83" s="1"/>
      <c r="H83" s="88"/>
      <c r="I83" s="88"/>
      <c r="J83" s="88"/>
      <c r="K83" s="88"/>
      <c r="L83" s="8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5.75" customHeight="1">
      <c r="A84" s="1"/>
      <c r="B84" s="1"/>
      <c r="C84" s="1"/>
      <c r="D84" s="1"/>
      <c r="E84" s="1"/>
      <c r="F84" s="1"/>
      <c r="G84" s="1"/>
      <c r="H84" s="88"/>
      <c r="I84" s="88"/>
      <c r="J84" s="88"/>
      <c r="K84" s="88"/>
      <c r="L84" s="8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5.75" customHeight="1">
      <c r="A85" s="1"/>
      <c r="B85" s="1"/>
      <c r="C85" s="1"/>
      <c r="D85" s="1"/>
      <c r="E85" s="1"/>
      <c r="F85" s="1"/>
      <c r="G85" s="1"/>
      <c r="H85" s="88"/>
      <c r="I85" s="88"/>
      <c r="J85" s="88"/>
      <c r="K85" s="88"/>
      <c r="L85" s="8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5.75" customHeight="1">
      <c r="A86" s="1"/>
      <c r="B86" s="1"/>
      <c r="C86" s="1"/>
      <c r="D86" s="1"/>
      <c r="E86" s="1"/>
      <c r="F86" s="1"/>
      <c r="G86" s="1"/>
      <c r="H86" s="88"/>
      <c r="I86" s="88"/>
      <c r="J86" s="88"/>
      <c r="K86" s="88"/>
      <c r="L86" s="8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5.75" customHeight="1">
      <c r="A87" s="1"/>
      <c r="B87" s="1"/>
      <c r="C87" s="1"/>
      <c r="D87" s="1"/>
      <c r="E87" s="1"/>
      <c r="F87" s="1"/>
      <c r="G87" s="1"/>
      <c r="H87" s="88"/>
      <c r="I87" s="88"/>
      <c r="J87" s="88"/>
      <c r="K87" s="88"/>
      <c r="L87" s="8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5.75" customHeight="1">
      <c r="A88" s="1"/>
      <c r="B88" s="1"/>
      <c r="C88" s="1"/>
      <c r="D88" s="1"/>
      <c r="E88" s="1"/>
      <c r="F88" s="1"/>
      <c r="G88" s="1"/>
      <c r="H88" s="88"/>
      <c r="I88" s="88"/>
      <c r="J88" s="88"/>
      <c r="K88" s="88"/>
      <c r="L88" s="8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5.75" customHeight="1">
      <c r="A89" s="1"/>
      <c r="B89" s="1"/>
      <c r="C89" s="1"/>
      <c r="D89" s="1"/>
      <c r="E89" s="1"/>
      <c r="F89" s="1"/>
      <c r="G89" s="1"/>
      <c r="H89" s="88"/>
      <c r="I89" s="88"/>
      <c r="J89" s="88"/>
      <c r="K89" s="88"/>
      <c r="L89" s="8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5.75" customHeight="1">
      <c r="A90" s="1"/>
      <c r="B90" s="1"/>
      <c r="C90" s="1"/>
      <c r="D90" s="1"/>
      <c r="E90" s="1"/>
      <c r="F90" s="1"/>
      <c r="G90" s="1"/>
      <c r="H90" s="88"/>
      <c r="I90" s="88"/>
      <c r="J90" s="88"/>
      <c r="K90" s="88"/>
      <c r="L90" s="8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5.75" customHeight="1">
      <c r="A91" s="1"/>
      <c r="B91" s="1"/>
      <c r="C91" s="1"/>
      <c r="D91" s="1"/>
      <c r="E91" s="1"/>
      <c r="F91" s="1"/>
      <c r="G91" s="1"/>
      <c r="H91" s="88"/>
      <c r="I91" s="88"/>
      <c r="J91" s="88"/>
      <c r="K91" s="88"/>
      <c r="L91" s="8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5.75" customHeight="1">
      <c r="A92" s="1"/>
      <c r="B92" s="1"/>
      <c r="C92" s="1"/>
      <c r="D92" s="1"/>
      <c r="E92" s="1"/>
      <c r="F92" s="1"/>
      <c r="G92" s="1"/>
      <c r="H92" s="88"/>
      <c r="I92" s="88"/>
      <c r="J92" s="88"/>
      <c r="K92" s="88"/>
      <c r="L92" s="8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5.75" customHeight="1">
      <c r="A93" s="1"/>
      <c r="B93" s="1"/>
      <c r="C93" s="1"/>
      <c r="D93" s="1"/>
      <c r="E93" s="1"/>
      <c r="F93" s="1"/>
      <c r="G93" s="1"/>
      <c r="H93" s="88"/>
      <c r="I93" s="88"/>
      <c r="J93" s="88"/>
      <c r="K93" s="88"/>
      <c r="L93" s="8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5.75" customHeight="1">
      <c r="A94" s="1"/>
      <c r="B94" s="1"/>
      <c r="C94" s="1"/>
      <c r="D94" s="1"/>
      <c r="E94" s="1"/>
      <c r="F94" s="1"/>
      <c r="G94" s="1"/>
      <c r="H94" s="88"/>
      <c r="I94" s="88"/>
      <c r="J94" s="88"/>
      <c r="K94" s="88"/>
      <c r="L94" s="8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5.75" customHeight="1">
      <c r="A95" s="1"/>
      <c r="B95" s="1"/>
      <c r="C95" s="1"/>
      <c r="D95" s="1"/>
      <c r="E95" s="1"/>
      <c r="F95" s="1"/>
      <c r="G95" s="1"/>
      <c r="H95" s="88"/>
      <c r="I95" s="88"/>
      <c r="J95" s="88"/>
      <c r="K95" s="88"/>
      <c r="L95" s="8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5.75" customHeight="1">
      <c r="A96" s="1"/>
      <c r="B96" s="1"/>
      <c r="C96" s="1"/>
      <c r="D96" s="1"/>
      <c r="E96" s="1"/>
      <c r="F96" s="1"/>
      <c r="G96" s="1"/>
      <c r="H96" s="88"/>
      <c r="I96" s="88"/>
      <c r="J96" s="88"/>
      <c r="K96" s="88"/>
      <c r="L96" s="8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5.75" customHeight="1">
      <c r="A97" s="1"/>
      <c r="B97" s="1"/>
      <c r="C97" s="1"/>
      <c r="D97" s="1"/>
      <c r="E97" s="1"/>
      <c r="F97" s="1"/>
      <c r="G97" s="1"/>
      <c r="H97" s="88"/>
      <c r="I97" s="88"/>
      <c r="J97" s="88"/>
      <c r="K97" s="88"/>
      <c r="L97" s="8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5.75" customHeight="1">
      <c r="A98" s="1"/>
      <c r="B98" s="1"/>
      <c r="C98" s="1"/>
      <c r="D98" s="1"/>
      <c r="E98" s="1"/>
      <c r="F98" s="1"/>
      <c r="G98" s="1"/>
      <c r="H98" s="88"/>
      <c r="I98" s="88"/>
      <c r="J98" s="88"/>
      <c r="K98" s="88"/>
      <c r="L98" s="8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5.75" customHeight="1">
      <c r="A99" s="1"/>
      <c r="B99" s="1"/>
      <c r="C99" s="1"/>
      <c r="D99" s="1"/>
      <c r="E99" s="1"/>
      <c r="F99" s="1"/>
      <c r="G99" s="1"/>
      <c r="H99" s="88"/>
      <c r="I99" s="88"/>
      <c r="J99" s="88"/>
      <c r="K99" s="88"/>
      <c r="L99" s="8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5.75" customHeight="1">
      <c r="A100" s="1"/>
      <c r="B100" s="1"/>
      <c r="C100" s="1"/>
      <c r="D100" s="1"/>
      <c r="E100" s="1"/>
      <c r="F100" s="1"/>
      <c r="G100" s="1"/>
      <c r="H100" s="88"/>
      <c r="I100" s="88"/>
      <c r="J100" s="88"/>
      <c r="K100" s="88"/>
      <c r="L100" s="8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5.75" customHeight="1">
      <c r="A101" s="1"/>
      <c r="B101" s="1"/>
      <c r="C101" s="1"/>
      <c r="D101" s="1"/>
      <c r="E101" s="1"/>
      <c r="F101" s="1"/>
      <c r="G101" s="1"/>
      <c r="H101" s="88"/>
      <c r="I101" s="88"/>
      <c r="J101" s="88"/>
      <c r="K101" s="88"/>
      <c r="L101" s="8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5.75" customHeight="1">
      <c r="A102" s="1"/>
      <c r="B102" s="1"/>
      <c r="C102" s="1"/>
      <c r="D102" s="1"/>
      <c r="E102" s="1"/>
      <c r="F102" s="1"/>
      <c r="G102" s="1"/>
      <c r="H102" s="88"/>
      <c r="I102" s="88"/>
      <c r="J102" s="88"/>
      <c r="K102" s="88"/>
      <c r="L102" s="8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5.75" customHeight="1">
      <c r="A103" s="1"/>
      <c r="B103" s="1"/>
      <c r="C103" s="1"/>
      <c r="D103" s="1"/>
      <c r="E103" s="1"/>
      <c r="F103" s="1"/>
      <c r="G103" s="1"/>
      <c r="H103" s="88"/>
      <c r="I103" s="88"/>
      <c r="J103" s="88"/>
      <c r="K103" s="88"/>
      <c r="L103" s="8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5.75" customHeight="1">
      <c r="A104" s="1"/>
      <c r="B104" s="1"/>
      <c r="C104" s="1"/>
      <c r="D104" s="1"/>
      <c r="E104" s="1"/>
      <c r="F104" s="1"/>
      <c r="G104" s="1"/>
      <c r="H104" s="88"/>
      <c r="I104" s="88"/>
      <c r="J104" s="88"/>
      <c r="K104" s="88"/>
      <c r="L104" s="8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5.75" customHeight="1">
      <c r="A105" s="1"/>
      <c r="B105" s="1"/>
      <c r="C105" s="1"/>
      <c r="D105" s="1"/>
      <c r="E105" s="1"/>
      <c r="F105" s="1"/>
      <c r="G105" s="1"/>
      <c r="H105" s="88"/>
      <c r="I105" s="88"/>
      <c r="J105" s="88"/>
      <c r="K105" s="88"/>
      <c r="L105" s="8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5.75" customHeight="1">
      <c r="A106" s="1"/>
      <c r="B106" s="1"/>
      <c r="C106" s="1"/>
      <c r="D106" s="1"/>
      <c r="E106" s="1"/>
      <c r="F106" s="1"/>
      <c r="G106" s="1"/>
      <c r="H106" s="88"/>
      <c r="I106" s="88"/>
      <c r="J106" s="88"/>
      <c r="K106" s="88"/>
      <c r="L106" s="8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5.75" customHeight="1">
      <c r="A107" s="1"/>
      <c r="B107" s="1"/>
      <c r="C107" s="1"/>
      <c r="D107" s="1"/>
      <c r="E107" s="1"/>
      <c r="F107" s="1"/>
      <c r="G107" s="1"/>
      <c r="H107" s="88"/>
      <c r="I107" s="88"/>
      <c r="J107" s="88"/>
      <c r="K107" s="88"/>
      <c r="L107" s="8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5.75" customHeight="1">
      <c r="A108" s="1"/>
      <c r="B108" s="1"/>
      <c r="C108" s="1"/>
      <c r="D108" s="1"/>
      <c r="E108" s="1"/>
      <c r="F108" s="1"/>
      <c r="G108" s="1"/>
      <c r="H108" s="88"/>
      <c r="I108" s="88"/>
      <c r="J108" s="88"/>
      <c r="K108" s="88"/>
      <c r="L108" s="8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5.75" customHeight="1">
      <c r="A109" s="1"/>
      <c r="B109" s="1"/>
      <c r="C109" s="1"/>
      <c r="D109" s="1"/>
      <c r="E109" s="1"/>
      <c r="F109" s="1"/>
      <c r="G109" s="1"/>
      <c r="H109" s="88"/>
      <c r="I109" s="88"/>
      <c r="J109" s="88"/>
      <c r="K109" s="88"/>
      <c r="L109" s="8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5.75" customHeight="1">
      <c r="A110" s="1"/>
      <c r="B110" s="1"/>
      <c r="C110" s="1"/>
      <c r="D110" s="1"/>
      <c r="E110" s="1"/>
      <c r="F110" s="1"/>
      <c r="G110" s="1"/>
      <c r="H110" s="88"/>
      <c r="I110" s="88"/>
      <c r="J110" s="88"/>
      <c r="K110" s="88"/>
      <c r="L110" s="8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5.75" customHeight="1">
      <c r="A111" s="1"/>
      <c r="B111" s="1"/>
      <c r="C111" s="1"/>
      <c r="D111" s="1"/>
      <c r="E111" s="1"/>
      <c r="F111" s="1"/>
      <c r="G111" s="1"/>
      <c r="H111" s="88"/>
      <c r="I111" s="88"/>
      <c r="J111" s="88"/>
      <c r="K111" s="88"/>
      <c r="L111" s="8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5.75" customHeight="1">
      <c r="A112" s="1"/>
      <c r="B112" s="1"/>
      <c r="C112" s="1"/>
      <c r="D112" s="1"/>
      <c r="E112" s="1"/>
      <c r="F112" s="1"/>
      <c r="G112" s="1"/>
      <c r="H112" s="88"/>
      <c r="I112" s="88"/>
      <c r="J112" s="88"/>
      <c r="K112" s="88"/>
      <c r="L112" s="8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5.75" customHeight="1">
      <c r="A113" s="1"/>
      <c r="B113" s="1"/>
      <c r="C113" s="1"/>
      <c r="D113" s="1"/>
      <c r="E113" s="1"/>
      <c r="F113" s="1"/>
      <c r="G113" s="1"/>
      <c r="H113" s="88"/>
      <c r="I113" s="88"/>
      <c r="J113" s="88"/>
      <c r="K113" s="88"/>
      <c r="L113" s="8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5.75" customHeight="1">
      <c r="A114" s="1"/>
      <c r="B114" s="1"/>
      <c r="C114" s="1"/>
      <c r="D114" s="1"/>
      <c r="E114" s="1"/>
      <c r="F114" s="1"/>
      <c r="G114" s="1"/>
      <c r="H114" s="88"/>
      <c r="I114" s="88"/>
      <c r="J114" s="88"/>
      <c r="K114" s="88"/>
      <c r="L114" s="8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5.75" customHeight="1">
      <c r="A115" s="1"/>
      <c r="B115" s="1"/>
      <c r="C115" s="1"/>
      <c r="D115" s="1"/>
      <c r="E115" s="1"/>
      <c r="F115" s="1"/>
      <c r="G115" s="1"/>
      <c r="H115" s="88"/>
      <c r="I115" s="88"/>
      <c r="J115" s="88"/>
      <c r="K115" s="88"/>
      <c r="L115" s="8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5.75" customHeight="1">
      <c r="A116" s="1"/>
      <c r="B116" s="1"/>
      <c r="C116" s="1"/>
      <c r="D116" s="1"/>
      <c r="E116" s="1"/>
      <c r="F116" s="1"/>
      <c r="G116" s="1"/>
      <c r="H116" s="88"/>
      <c r="I116" s="88"/>
      <c r="J116" s="88"/>
      <c r="K116" s="88"/>
      <c r="L116" s="8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5.75" customHeight="1">
      <c r="A117" s="1"/>
      <c r="B117" s="1"/>
      <c r="C117" s="1"/>
      <c r="D117" s="1"/>
      <c r="E117" s="1"/>
      <c r="F117" s="1"/>
      <c r="G117" s="1"/>
      <c r="H117" s="88"/>
      <c r="I117" s="88"/>
      <c r="J117" s="88"/>
      <c r="K117" s="88"/>
      <c r="L117" s="8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5.75" customHeight="1">
      <c r="A118" s="1"/>
      <c r="B118" s="1"/>
      <c r="C118" s="1"/>
      <c r="D118" s="1"/>
      <c r="E118" s="1"/>
      <c r="F118" s="1"/>
      <c r="G118" s="1"/>
      <c r="H118" s="88"/>
      <c r="I118" s="88"/>
      <c r="J118" s="88"/>
      <c r="K118" s="88"/>
      <c r="L118" s="8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5.75" customHeight="1">
      <c r="A119" s="1"/>
      <c r="B119" s="1"/>
      <c r="C119" s="1"/>
      <c r="D119" s="1"/>
      <c r="E119" s="1"/>
      <c r="F119" s="1"/>
      <c r="G119" s="1"/>
      <c r="H119" s="88"/>
      <c r="I119" s="88"/>
      <c r="J119" s="88"/>
      <c r="K119" s="88"/>
      <c r="L119" s="8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5.75" customHeight="1">
      <c r="A120" s="1"/>
      <c r="B120" s="1"/>
      <c r="C120" s="1"/>
      <c r="D120" s="1"/>
      <c r="E120" s="1"/>
      <c r="F120" s="1"/>
      <c r="G120" s="1"/>
      <c r="H120" s="88"/>
      <c r="I120" s="88"/>
      <c r="J120" s="88"/>
      <c r="K120" s="88"/>
      <c r="L120" s="8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5.75" customHeight="1">
      <c r="A121" s="1"/>
      <c r="B121" s="1"/>
      <c r="C121" s="1"/>
      <c r="D121" s="1"/>
      <c r="E121" s="1"/>
      <c r="F121" s="1"/>
      <c r="G121" s="1"/>
      <c r="H121" s="88"/>
      <c r="I121" s="88"/>
      <c r="J121" s="88"/>
      <c r="K121" s="88"/>
      <c r="L121" s="8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5.75" customHeight="1">
      <c r="A122" s="1"/>
      <c r="B122" s="1"/>
      <c r="C122" s="1"/>
      <c r="D122" s="1"/>
      <c r="E122" s="1"/>
      <c r="F122" s="1"/>
      <c r="G122" s="1"/>
      <c r="H122" s="88"/>
      <c r="I122" s="88"/>
      <c r="J122" s="88"/>
      <c r="K122" s="88"/>
      <c r="L122" s="8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5.75" customHeight="1">
      <c r="A123" s="1"/>
      <c r="B123" s="1"/>
      <c r="C123" s="1"/>
      <c r="D123" s="1"/>
      <c r="E123" s="1"/>
      <c r="F123" s="1"/>
      <c r="G123" s="1"/>
      <c r="H123" s="88"/>
      <c r="I123" s="88"/>
      <c r="J123" s="88"/>
      <c r="K123" s="88"/>
      <c r="L123" s="8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5.75" customHeight="1">
      <c r="A124" s="1"/>
      <c r="B124" s="1"/>
      <c r="C124" s="1"/>
      <c r="D124" s="1"/>
      <c r="E124" s="1"/>
      <c r="F124" s="1"/>
      <c r="G124" s="1"/>
      <c r="H124" s="88"/>
      <c r="I124" s="88"/>
      <c r="J124" s="88"/>
      <c r="K124" s="88"/>
      <c r="L124" s="8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5.75" customHeight="1">
      <c r="A125" s="1"/>
      <c r="B125" s="1"/>
      <c r="C125" s="1"/>
      <c r="D125" s="1"/>
      <c r="E125" s="1"/>
      <c r="F125" s="1"/>
      <c r="G125" s="1"/>
      <c r="H125" s="88"/>
      <c r="I125" s="88"/>
      <c r="J125" s="88"/>
      <c r="K125" s="88"/>
      <c r="L125" s="8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5.75" customHeight="1">
      <c r="A126" s="1"/>
      <c r="B126" s="1"/>
      <c r="C126" s="1"/>
      <c r="D126" s="1"/>
      <c r="E126" s="1"/>
      <c r="F126" s="1"/>
      <c r="G126" s="1"/>
      <c r="H126" s="88"/>
      <c r="I126" s="88"/>
      <c r="J126" s="88"/>
      <c r="K126" s="88"/>
      <c r="L126" s="8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5.75" customHeight="1">
      <c r="A127" s="1"/>
      <c r="B127" s="1"/>
      <c r="C127" s="1"/>
      <c r="D127" s="1"/>
      <c r="E127" s="1"/>
      <c r="F127" s="1"/>
      <c r="G127" s="1"/>
      <c r="H127" s="88"/>
      <c r="I127" s="88"/>
      <c r="J127" s="88"/>
      <c r="K127" s="88"/>
      <c r="L127" s="8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5.75" customHeight="1">
      <c r="A128" s="1"/>
      <c r="B128" s="1"/>
      <c r="C128" s="1"/>
      <c r="D128" s="1"/>
      <c r="E128" s="1"/>
      <c r="F128" s="1"/>
      <c r="G128" s="1"/>
      <c r="H128" s="88"/>
      <c r="I128" s="88"/>
      <c r="J128" s="88"/>
      <c r="K128" s="88"/>
      <c r="L128" s="8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5.75" customHeight="1">
      <c r="A129" s="1"/>
      <c r="B129" s="1"/>
      <c r="C129" s="1"/>
      <c r="D129" s="1"/>
      <c r="E129" s="1"/>
      <c r="F129" s="1"/>
      <c r="G129" s="1"/>
      <c r="H129" s="88"/>
      <c r="I129" s="88"/>
      <c r="J129" s="88"/>
      <c r="K129" s="88"/>
      <c r="L129" s="8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5.75" customHeight="1">
      <c r="A130" s="1"/>
      <c r="B130" s="1"/>
      <c r="C130" s="1"/>
      <c r="D130" s="1"/>
      <c r="E130" s="1"/>
      <c r="F130" s="1"/>
      <c r="G130" s="1"/>
      <c r="H130" s="88"/>
      <c r="I130" s="88"/>
      <c r="J130" s="88"/>
      <c r="K130" s="88"/>
      <c r="L130" s="8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5.75" customHeight="1">
      <c r="A131" s="1"/>
      <c r="B131" s="1"/>
      <c r="C131" s="1"/>
      <c r="D131" s="1"/>
      <c r="E131" s="1"/>
      <c r="F131" s="1"/>
      <c r="G131" s="1"/>
      <c r="H131" s="88"/>
      <c r="I131" s="88"/>
      <c r="J131" s="88"/>
      <c r="K131" s="88"/>
      <c r="L131" s="8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5.75" customHeight="1">
      <c r="A132" s="1"/>
      <c r="B132" s="1"/>
      <c r="C132" s="1"/>
      <c r="D132" s="1"/>
      <c r="E132" s="1"/>
      <c r="F132" s="1"/>
      <c r="G132" s="1"/>
      <c r="H132" s="88"/>
      <c r="I132" s="88"/>
      <c r="J132" s="88"/>
      <c r="K132" s="88"/>
      <c r="L132" s="8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5.75" customHeight="1">
      <c r="A133" s="1"/>
      <c r="B133" s="1"/>
      <c r="C133" s="1"/>
      <c r="D133" s="1"/>
      <c r="E133" s="1"/>
      <c r="F133" s="1"/>
      <c r="G133" s="1"/>
      <c r="H133" s="88"/>
      <c r="I133" s="88"/>
      <c r="J133" s="88"/>
      <c r="K133" s="88"/>
      <c r="L133" s="8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5.75" customHeight="1">
      <c r="A134" s="1"/>
      <c r="B134" s="1"/>
      <c r="C134" s="1"/>
      <c r="D134" s="1"/>
      <c r="E134" s="1"/>
      <c r="F134" s="1"/>
      <c r="G134" s="1"/>
      <c r="H134" s="88"/>
      <c r="I134" s="88"/>
      <c r="J134" s="88"/>
      <c r="K134" s="88"/>
      <c r="L134" s="8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5.75" customHeight="1">
      <c r="A135" s="1"/>
      <c r="B135" s="1"/>
      <c r="C135" s="1"/>
      <c r="D135" s="1"/>
      <c r="E135" s="1"/>
      <c r="F135" s="1"/>
      <c r="G135" s="1"/>
      <c r="H135" s="88"/>
      <c r="I135" s="88"/>
      <c r="J135" s="88"/>
      <c r="K135" s="88"/>
      <c r="L135" s="8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5.75" customHeight="1">
      <c r="A136" s="1"/>
      <c r="B136" s="1"/>
      <c r="C136" s="1"/>
      <c r="D136" s="1"/>
      <c r="E136" s="1"/>
      <c r="F136" s="1"/>
      <c r="G136" s="1"/>
      <c r="H136" s="88"/>
      <c r="I136" s="88"/>
      <c r="J136" s="88"/>
      <c r="K136" s="88"/>
      <c r="L136" s="8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5.75" customHeight="1">
      <c r="A137" s="1"/>
      <c r="B137" s="1"/>
      <c r="C137" s="1"/>
      <c r="D137" s="1"/>
      <c r="E137" s="1"/>
      <c r="F137" s="1"/>
      <c r="G137" s="1"/>
      <c r="H137" s="88"/>
      <c r="I137" s="88"/>
      <c r="J137" s="88"/>
      <c r="K137" s="88"/>
      <c r="L137" s="8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5.75" customHeight="1">
      <c r="A138" s="1"/>
      <c r="B138" s="1"/>
      <c r="C138" s="1"/>
      <c r="D138" s="1"/>
      <c r="E138" s="1"/>
      <c r="F138" s="1"/>
      <c r="G138" s="1"/>
      <c r="H138" s="88"/>
      <c r="I138" s="88"/>
      <c r="J138" s="88"/>
      <c r="K138" s="88"/>
      <c r="L138" s="8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5.75" customHeight="1">
      <c r="A139" s="1"/>
      <c r="B139" s="1"/>
      <c r="C139" s="1"/>
      <c r="D139" s="1"/>
      <c r="E139" s="1"/>
      <c r="F139" s="1"/>
      <c r="G139" s="1"/>
      <c r="H139" s="88"/>
      <c r="I139" s="88"/>
      <c r="J139" s="88"/>
      <c r="K139" s="88"/>
      <c r="L139" s="8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5.75" customHeight="1">
      <c r="A140" s="1"/>
      <c r="B140" s="1"/>
      <c r="C140" s="1"/>
      <c r="D140" s="1"/>
      <c r="E140" s="1"/>
      <c r="F140" s="1"/>
      <c r="G140" s="1"/>
      <c r="H140" s="88"/>
      <c r="I140" s="88"/>
      <c r="J140" s="88"/>
      <c r="K140" s="88"/>
      <c r="L140" s="8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5.75" customHeight="1">
      <c r="A141" s="1"/>
      <c r="B141" s="1"/>
      <c r="C141" s="1"/>
      <c r="D141" s="1"/>
      <c r="E141" s="1"/>
      <c r="F141" s="1"/>
      <c r="G141" s="1"/>
      <c r="H141" s="88"/>
      <c r="I141" s="88"/>
      <c r="J141" s="88"/>
      <c r="K141" s="88"/>
      <c r="L141" s="8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5.75" customHeight="1">
      <c r="A142" s="1"/>
      <c r="B142" s="1"/>
      <c r="C142" s="1"/>
      <c r="D142" s="1"/>
      <c r="E142" s="1"/>
      <c r="F142" s="1"/>
      <c r="G142" s="1"/>
      <c r="H142" s="88"/>
      <c r="I142" s="88"/>
      <c r="J142" s="88"/>
      <c r="K142" s="88"/>
      <c r="L142" s="8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5.75" customHeight="1">
      <c r="A143" s="1"/>
      <c r="B143" s="1"/>
      <c r="C143" s="1"/>
      <c r="D143" s="1"/>
      <c r="E143" s="1"/>
      <c r="F143" s="1"/>
      <c r="G143" s="1"/>
      <c r="H143" s="88"/>
      <c r="I143" s="88"/>
      <c r="J143" s="88"/>
      <c r="K143" s="88"/>
      <c r="L143" s="8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5.75" customHeight="1">
      <c r="A144" s="1"/>
      <c r="B144" s="1"/>
      <c r="C144" s="1"/>
      <c r="D144" s="1"/>
      <c r="E144" s="1"/>
      <c r="F144" s="1"/>
      <c r="G144" s="1"/>
      <c r="H144" s="88"/>
      <c r="I144" s="88"/>
      <c r="J144" s="88"/>
      <c r="K144" s="88"/>
      <c r="L144" s="8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5.75" customHeight="1">
      <c r="A145" s="1"/>
      <c r="B145" s="1"/>
      <c r="C145" s="1"/>
      <c r="D145" s="1"/>
      <c r="E145" s="1"/>
      <c r="F145" s="1"/>
      <c r="G145" s="1"/>
      <c r="H145" s="88"/>
      <c r="I145" s="88"/>
      <c r="J145" s="88"/>
      <c r="K145" s="88"/>
      <c r="L145" s="8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5.75" customHeight="1">
      <c r="A146" s="1"/>
      <c r="B146" s="1"/>
      <c r="C146" s="1"/>
      <c r="D146" s="1"/>
      <c r="E146" s="1"/>
      <c r="F146" s="1"/>
      <c r="G146" s="1"/>
      <c r="H146" s="88"/>
      <c r="I146" s="88"/>
      <c r="J146" s="88"/>
      <c r="K146" s="88"/>
      <c r="L146" s="8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5.75" customHeight="1">
      <c r="A147" s="1"/>
      <c r="B147" s="1"/>
      <c r="C147" s="1"/>
      <c r="D147" s="1"/>
      <c r="E147" s="1"/>
      <c r="F147" s="1"/>
      <c r="G147" s="1"/>
      <c r="H147" s="88"/>
      <c r="I147" s="88"/>
      <c r="J147" s="88"/>
      <c r="K147" s="88"/>
      <c r="L147" s="8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5.75" customHeight="1">
      <c r="A148" s="1"/>
      <c r="B148" s="1"/>
      <c r="C148" s="1"/>
      <c r="D148" s="1"/>
      <c r="E148" s="1"/>
      <c r="F148" s="1"/>
      <c r="G148" s="1"/>
      <c r="H148" s="88"/>
      <c r="I148" s="88"/>
      <c r="J148" s="88"/>
      <c r="K148" s="88"/>
      <c r="L148" s="8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5.75" customHeight="1">
      <c r="A149" s="1"/>
      <c r="B149" s="1"/>
      <c r="C149" s="1"/>
      <c r="D149" s="1"/>
      <c r="E149" s="1"/>
      <c r="F149" s="1"/>
      <c r="G149" s="1"/>
      <c r="H149" s="88"/>
      <c r="I149" s="88"/>
      <c r="J149" s="88"/>
      <c r="K149" s="88"/>
      <c r="L149" s="8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5.75" customHeight="1">
      <c r="A150" s="1"/>
      <c r="B150" s="1"/>
      <c r="C150" s="1"/>
      <c r="D150" s="1"/>
      <c r="E150" s="1"/>
      <c r="F150" s="1"/>
      <c r="G150" s="1"/>
      <c r="H150" s="88"/>
      <c r="I150" s="88"/>
      <c r="J150" s="88"/>
      <c r="K150" s="88"/>
      <c r="L150" s="8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5.75" customHeight="1">
      <c r="A151" s="1"/>
      <c r="B151" s="1"/>
      <c r="C151" s="1"/>
      <c r="D151" s="1"/>
      <c r="E151" s="1"/>
      <c r="F151" s="1"/>
      <c r="G151" s="1"/>
      <c r="H151" s="88"/>
      <c r="I151" s="88"/>
      <c r="J151" s="88"/>
      <c r="K151" s="88"/>
      <c r="L151" s="8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5.75" customHeight="1">
      <c r="A152" s="1"/>
      <c r="B152" s="1"/>
      <c r="C152" s="1"/>
      <c r="D152" s="1"/>
      <c r="E152" s="1"/>
      <c r="F152" s="1"/>
      <c r="G152" s="1"/>
      <c r="H152" s="88"/>
      <c r="I152" s="88"/>
      <c r="J152" s="88"/>
      <c r="K152" s="88"/>
      <c r="L152" s="8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5.75" customHeight="1">
      <c r="A153" s="1"/>
      <c r="B153" s="1"/>
      <c r="C153" s="1"/>
      <c r="D153" s="1"/>
      <c r="E153" s="1"/>
      <c r="F153" s="1"/>
      <c r="G153" s="1"/>
      <c r="H153" s="88"/>
      <c r="I153" s="88"/>
      <c r="J153" s="88"/>
      <c r="K153" s="88"/>
      <c r="L153" s="8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5.75" customHeight="1">
      <c r="A154" s="1"/>
      <c r="B154" s="1"/>
      <c r="C154" s="1"/>
      <c r="D154" s="1"/>
      <c r="E154" s="1"/>
      <c r="F154" s="1"/>
      <c r="G154" s="1"/>
      <c r="H154" s="88"/>
      <c r="I154" s="88"/>
      <c r="J154" s="88"/>
      <c r="K154" s="88"/>
      <c r="L154" s="8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5.75" customHeight="1">
      <c r="A155" s="1"/>
      <c r="B155" s="1"/>
      <c r="C155" s="1"/>
      <c r="D155" s="1"/>
      <c r="E155" s="1"/>
      <c r="F155" s="1"/>
      <c r="G155" s="1"/>
      <c r="H155" s="88"/>
      <c r="I155" s="88"/>
      <c r="J155" s="88"/>
      <c r="K155" s="88"/>
      <c r="L155" s="8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5.75" customHeight="1">
      <c r="A156" s="1"/>
      <c r="B156" s="1"/>
      <c r="C156" s="1"/>
      <c r="D156" s="1"/>
      <c r="E156" s="1"/>
      <c r="F156" s="1"/>
      <c r="G156" s="1"/>
      <c r="H156" s="88"/>
      <c r="I156" s="88"/>
      <c r="J156" s="88"/>
      <c r="K156" s="88"/>
      <c r="L156" s="8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5.75" customHeight="1">
      <c r="A157" s="1"/>
      <c r="B157" s="1"/>
      <c r="C157" s="1"/>
      <c r="D157" s="1"/>
      <c r="E157" s="1"/>
      <c r="F157" s="1"/>
      <c r="G157" s="1"/>
      <c r="H157" s="88"/>
      <c r="I157" s="88"/>
      <c r="J157" s="88"/>
      <c r="K157" s="88"/>
      <c r="L157" s="8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5.75" customHeight="1">
      <c r="A158" s="1"/>
      <c r="B158" s="1"/>
      <c r="C158" s="1"/>
      <c r="D158" s="1"/>
      <c r="E158" s="1"/>
      <c r="F158" s="1"/>
      <c r="G158" s="1"/>
      <c r="H158" s="88"/>
      <c r="I158" s="88"/>
      <c r="J158" s="88"/>
      <c r="K158" s="88"/>
      <c r="L158" s="8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5.75" customHeight="1">
      <c r="A159" s="1"/>
      <c r="B159" s="1"/>
      <c r="C159" s="1"/>
      <c r="D159" s="1"/>
      <c r="E159" s="1"/>
      <c r="F159" s="1"/>
      <c r="G159" s="1"/>
      <c r="H159" s="88"/>
      <c r="I159" s="88"/>
      <c r="J159" s="88"/>
      <c r="K159" s="88"/>
      <c r="L159" s="8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5.75" customHeight="1">
      <c r="A160" s="1"/>
      <c r="B160" s="1"/>
      <c r="C160" s="1"/>
      <c r="D160" s="1"/>
      <c r="E160" s="1"/>
      <c r="F160" s="1"/>
      <c r="G160" s="1"/>
      <c r="H160" s="88"/>
      <c r="I160" s="88"/>
      <c r="J160" s="88"/>
      <c r="K160" s="88"/>
      <c r="L160" s="8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5.75" customHeight="1">
      <c r="A161" s="1"/>
      <c r="B161" s="1"/>
      <c r="C161" s="1"/>
      <c r="D161" s="1"/>
      <c r="E161" s="1"/>
      <c r="F161" s="1"/>
      <c r="G161" s="1"/>
      <c r="H161" s="88"/>
      <c r="I161" s="88"/>
      <c r="J161" s="88"/>
      <c r="K161" s="88"/>
      <c r="L161" s="8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5.75" customHeight="1">
      <c r="A162" s="1"/>
      <c r="B162" s="1"/>
      <c r="C162" s="1"/>
      <c r="D162" s="1"/>
      <c r="E162" s="1"/>
      <c r="F162" s="1"/>
      <c r="G162" s="1"/>
      <c r="H162" s="88"/>
      <c r="I162" s="88"/>
      <c r="J162" s="88"/>
      <c r="K162" s="88"/>
      <c r="L162" s="8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5.75" customHeight="1">
      <c r="A163" s="1"/>
      <c r="B163" s="1"/>
      <c r="C163" s="1"/>
      <c r="D163" s="1"/>
      <c r="E163" s="1"/>
      <c r="F163" s="1"/>
      <c r="G163" s="1"/>
      <c r="H163" s="88"/>
      <c r="I163" s="88"/>
      <c r="J163" s="88"/>
      <c r="K163" s="88"/>
      <c r="L163" s="8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5.75" customHeight="1">
      <c r="A164" s="1"/>
      <c r="B164" s="1"/>
      <c r="C164" s="1"/>
      <c r="D164" s="1"/>
      <c r="E164" s="1"/>
      <c r="F164" s="1"/>
      <c r="G164" s="1"/>
      <c r="H164" s="88"/>
      <c r="I164" s="88"/>
      <c r="J164" s="88"/>
      <c r="K164" s="88"/>
      <c r="L164" s="8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5.75" customHeight="1">
      <c r="A165" s="1"/>
      <c r="B165" s="1"/>
      <c r="C165" s="1"/>
      <c r="D165" s="1"/>
      <c r="E165" s="1"/>
      <c r="F165" s="1"/>
      <c r="G165" s="1"/>
      <c r="H165" s="88"/>
      <c r="I165" s="88"/>
      <c r="J165" s="88"/>
      <c r="K165" s="88"/>
      <c r="L165" s="8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5.75" customHeight="1">
      <c r="A166" s="1"/>
      <c r="B166" s="1"/>
      <c r="C166" s="1"/>
      <c r="D166" s="1"/>
      <c r="E166" s="1"/>
      <c r="F166" s="1"/>
      <c r="G166" s="1"/>
      <c r="H166" s="88"/>
      <c r="I166" s="88"/>
      <c r="J166" s="88"/>
      <c r="K166" s="88"/>
      <c r="L166" s="8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5.75" customHeight="1">
      <c r="A167" s="1"/>
      <c r="B167" s="1"/>
      <c r="C167" s="1"/>
      <c r="D167" s="1"/>
      <c r="E167" s="1"/>
      <c r="F167" s="1"/>
      <c r="G167" s="1"/>
      <c r="H167" s="88"/>
      <c r="I167" s="88"/>
      <c r="J167" s="88"/>
      <c r="K167" s="88"/>
      <c r="L167" s="8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5.75" customHeight="1">
      <c r="A168" s="1"/>
      <c r="B168" s="1"/>
      <c r="C168" s="1"/>
      <c r="D168" s="1"/>
      <c r="E168" s="1"/>
      <c r="F168" s="1"/>
      <c r="G168" s="1"/>
      <c r="H168" s="88"/>
      <c r="I168" s="88"/>
      <c r="J168" s="88"/>
      <c r="K168" s="88"/>
      <c r="L168" s="8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5.75" customHeight="1">
      <c r="A169" s="1"/>
      <c r="B169" s="1"/>
      <c r="C169" s="1"/>
      <c r="D169" s="1"/>
      <c r="E169" s="1"/>
      <c r="F169" s="1"/>
      <c r="G169" s="1"/>
      <c r="H169" s="88"/>
      <c r="I169" s="88"/>
      <c r="J169" s="88"/>
      <c r="K169" s="88"/>
      <c r="L169" s="8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5.75" customHeight="1">
      <c r="A170" s="1"/>
      <c r="B170" s="1"/>
      <c r="C170" s="1"/>
      <c r="D170" s="1"/>
      <c r="E170" s="1"/>
      <c r="F170" s="1"/>
      <c r="G170" s="1"/>
      <c r="H170" s="88"/>
      <c r="I170" s="88"/>
      <c r="J170" s="88"/>
      <c r="K170" s="88"/>
      <c r="L170" s="8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5.75" customHeight="1">
      <c r="A171" s="1"/>
      <c r="B171" s="1"/>
      <c r="C171" s="1"/>
      <c r="D171" s="1"/>
      <c r="E171" s="1"/>
      <c r="F171" s="1"/>
      <c r="G171" s="1"/>
      <c r="H171" s="88"/>
      <c r="I171" s="88"/>
      <c r="J171" s="88"/>
      <c r="K171" s="88"/>
      <c r="L171" s="8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5.75" customHeight="1">
      <c r="A172" s="1"/>
      <c r="B172" s="1"/>
      <c r="C172" s="1"/>
      <c r="D172" s="1"/>
      <c r="E172" s="1"/>
      <c r="F172" s="1"/>
      <c r="G172" s="1"/>
      <c r="H172" s="88"/>
      <c r="I172" s="88"/>
      <c r="J172" s="88"/>
      <c r="K172" s="88"/>
      <c r="L172" s="8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5.75" customHeight="1">
      <c r="A173" s="1"/>
      <c r="B173" s="1"/>
      <c r="C173" s="1"/>
      <c r="D173" s="1"/>
      <c r="E173" s="1"/>
      <c r="F173" s="1"/>
      <c r="G173" s="1"/>
      <c r="H173" s="88"/>
      <c r="I173" s="88"/>
      <c r="J173" s="88"/>
      <c r="K173" s="88"/>
      <c r="L173" s="8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5.75" customHeight="1">
      <c r="A174" s="1"/>
      <c r="B174" s="1"/>
      <c r="C174" s="1"/>
      <c r="D174" s="1"/>
      <c r="E174" s="1"/>
      <c r="F174" s="1"/>
      <c r="G174" s="1"/>
      <c r="H174" s="88"/>
      <c r="I174" s="88"/>
      <c r="J174" s="88"/>
      <c r="K174" s="88"/>
      <c r="L174" s="8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5.75" customHeight="1">
      <c r="A175" s="1"/>
      <c r="B175" s="1"/>
      <c r="C175" s="1"/>
      <c r="D175" s="1"/>
      <c r="E175" s="1"/>
      <c r="F175" s="1"/>
      <c r="G175" s="1"/>
      <c r="H175" s="88"/>
      <c r="I175" s="88"/>
      <c r="J175" s="88"/>
      <c r="K175" s="88"/>
      <c r="L175" s="8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5.75" customHeight="1">
      <c r="A176" s="1"/>
      <c r="B176" s="1"/>
      <c r="C176" s="1"/>
      <c r="D176" s="1"/>
      <c r="E176" s="1"/>
      <c r="F176" s="1"/>
      <c r="G176" s="1"/>
      <c r="H176" s="88"/>
      <c r="I176" s="88"/>
      <c r="J176" s="88"/>
      <c r="K176" s="88"/>
      <c r="L176" s="8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5.75" customHeight="1">
      <c r="A177" s="1"/>
      <c r="B177" s="1"/>
      <c r="C177" s="1"/>
      <c r="D177" s="1"/>
      <c r="E177" s="1"/>
      <c r="F177" s="1"/>
      <c r="G177" s="1"/>
      <c r="H177" s="88"/>
      <c r="I177" s="88"/>
      <c r="J177" s="88"/>
      <c r="K177" s="88"/>
      <c r="L177" s="8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5.75" customHeight="1">
      <c r="A178" s="1"/>
      <c r="B178" s="1"/>
      <c r="C178" s="1"/>
      <c r="D178" s="1"/>
      <c r="E178" s="1"/>
      <c r="F178" s="1"/>
      <c r="G178" s="1"/>
      <c r="H178" s="88"/>
      <c r="I178" s="88"/>
      <c r="J178" s="88"/>
      <c r="K178" s="88"/>
      <c r="L178" s="8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5.75" customHeight="1">
      <c r="A179" s="1"/>
      <c r="B179" s="1"/>
      <c r="C179" s="1"/>
      <c r="D179" s="1"/>
      <c r="E179" s="1"/>
      <c r="F179" s="1"/>
      <c r="G179" s="1"/>
      <c r="H179" s="88"/>
      <c r="I179" s="88"/>
      <c r="J179" s="88"/>
      <c r="K179" s="88"/>
      <c r="L179" s="8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5.75" customHeight="1">
      <c r="A180" s="1"/>
      <c r="B180" s="1"/>
      <c r="C180" s="1"/>
      <c r="D180" s="1"/>
      <c r="E180" s="1"/>
      <c r="F180" s="1"/>
      <c r="G180" s="1"/>
      <c r="H180" s="88"/>
      <c r="I180" s="88"/>
      <c r="J180" s="88"/>
      <c r="K180" s="88"/>
      <c r="L180" s="8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5.75" customHeight="1">
      <c r="A181" s="1"/>
      <c r="B181" s="1"/>
      <c r="C181" s="1"/>
      <c r="D181" s="1"/>
      <c r="E181" s="1"/>
      <c r="F181" s="1"/>
      <c r="G181" s="1"/>
      <c r="H181" s="88"/>
      <c r="I181" s="88"/>
      <c r="J181" s="88"/>
      <c r="K181" s="88"/>
      <c r="L181" s="8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5.75" customHeight="1">
      <c r="A182" s="1"/>
      <c r="B182" s="1"/>
      <c r="C182" s="1"/>
      <c r="D182" s="1"/>
      <c r="E182" s="1"/>
      <c r="F182" s="1"/>
      <c r="G182" s="1"/>
      <c r="H182" s="88"/>
      <c r="I182" s="88"/>
      <c r="J182" s="88"/>
      <c r="K182" s="88"/>
      <c r="L182" s="8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5.75" customHeight="1">
      <c r="A183" s="1"/>
      <c r="B183" s="1"/>
      <c r="C183" s="1"/>
      <c r="D183" s="1"/>
      <c r="E183" s="1"/>
      <c r="F183" s="1"/>
      <c r="G183" s="1"/>
      <c r="H183" s="88"/>
      <c r="I183" s="88"/>
      <c r="J183" s="88"/>
      <c r="K183" s="88"/>
      <c r="L183" s="8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5.75" customHeight="1">
      <c r="A184" s="1"/>
      <c r="B184" s="1"/>
      <c r="C184" s="1"/>
      <c r="D184" s="1"/>
      <c r="E184" s="1"/>
      <c r="F184" s="1"/>
      <c r="G184" s="1"/>
      <c r="H184" s="88"/>
      <c r="I184" s="88"/>
      <c r="J184" s="88"/>
      <c r="K184" s="88"/>
      <c r="L184" s="8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5.75" customHeight="1">
      <c r="A185" s="1"/>
      <c r="B185" s="1"/>
      <c r="C185" s="1"/>
      <c r="D185" s="1"/>
      <c r="E185" s="1"/>
      <c r="F185" s="1"/>
      <c r="G185" s="1"/>
      <c r="H185" s="88"/>
      <c r="I185" s="88"/>
      <c r="J185" s="88"/>
      <c r="K185" s="88"/>
      <c r="L185" s="8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5.75" customHeight="1">
      <c r="A186" s="1"/>
      <c r="B186" s="1"/>
      <c r="C186" s="1"/>
      <c r="D186" s="1"/>
      <c r="E186" s="1"/>
      <c r="F186" s="1"/>
      <c r="G186" s="1"/>
      <c r="H186" s="88"/>
      <c r="I186" s="88"/>
      <c r="J186" s="88"/>
      <c r="K186" s="88"/>
      <c r="L186" s="8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5.75" customHeight="1">
      <c r="A187" s="1"/>
      <c r="B187" s="1"/>
      <c r="C187" s="1"/>
      <c r="D187" s="1"/>
      <c r="E187" s="1"/>
      <c r="F187" s="1"/>
      <c r="G187" s="1"/>
      <c r="H187" s="88"/>
      <c r="I187" s="88"/>
      <c r="J187" s="88"/>
      <c r="K187" s="88"/>
      <c r="L187" s="8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5.75" customHeight="1">
      <c r="A188" s="1"/>
      <c r="B188" s="1"/>
      <c r="C188" s="1"/>
      <c r="D188" s="1"/>
      <c r="E188" s="1"/>
      <c r="F188" s="1"/>
      <c r="G188" s="1"/>
      <c r="H188" s="88"/>
      <c r="I188" s="88"/>
      <c r="J188" s="88"/>
      <c r="K188" s="88"/>
      <c r="L188" s="8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5.75" customHeight="1">
      <c r="A189" s="1"/>
      <c r="B189" s="1"/>
      <c r="C189" s="1"/>
      <c r="D189" s="1"/>
      <c r="E189" s="1"/>
      <c r="F189" s="1"/>
      <c r="G189" s="1"/>
      <c r="H189" s="88"/>
      <c r="I189" s="88"/>
      <c r="J189" s="88"/>
      <c r="K189" s="88"/>
      <c r="L189" s="8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5.75" customHeight="1">
      <c r="A190" s="1"/>
      <c r="B190" s="1"/>
      <c r="C190" s="1"/>
      <c r="D190" s="1"/>
      <c r="E190" s="1"/>
      <c r="F190" s="1"/>
      <c r="G190" s="1"/>
      <c r="H190" s="88"/>
      <c r="I190" s="88"/>
      <c r="J190" s="88"/>
      <c r="K190" s="88"/>
      <c r="L190" s="8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5.75" customHeight="1">
      <c r="A191" s="1"/>
      <c r="B191" s="1"/>
      <c r="C191" s="1"/>
      <c r="D191" s="1"/>
      <c r="E191" s="1"/>
      <c r="F191" s="1"/>
      <c r="G191" s="1"/>
      <c r="H191" s="88"/>
      <c r="I191" s="88"/>
      <c r="J191" s="88"/>
      <c r="K191" s="88"/>
      <c r="L191" s="8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5.75" customHeight="1">
      <c r="A192" s="1"/>
      <c r="B192" s="1"/>
      <c r="C192" s="1"/>
      <c r="D192" s="1"/>
      <c r="E192" s="1"/>
      <c r="F192" s="1"/>
      <c r="G192" s="1"/>
      <c r="H192" s="88"/>
      <c r="I192" s="88"/>
      <c r="J192" s="88"/>
      <c r="K192" s="88"/>
      <c r="L192" s="8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5.75" customHeight="1">
      <c r="A193" s="1"/>
      <c r="B193" s="1"/>
      <c r="C193" s="1"/>
      <c r="D193" s="1"/>
      <c r="E193" s="1"/>
      <c r="F193" s="1"/>
      <c r="G193" s="1"/>
      <c r="H193" s="88"/>
      <c r="I193" s="88"/>
      <c r="J193" s="88"/>
      <c r="K193" s="88"/>
      <c r="L193" s="8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5.75" customHeight="1">
      <c r="A194" s="1"/>
      <c r="B194" s="1"/>
      <c r="C194" s="1"/>
      <c r="D194" s="1"/>
      <c r="E194" s="1"/>
      <c r="F194" s="1"/>
      <c r="G194" s="1"/>
      <c r="H194" s="88"/>
      <c r="I194" s="88"/>
      <c r="J194" s="88"/>
      <c r="K194" s="88"/>
      <c r="L194" s="8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5.75" customHeight="1">
      <c r="A195" s="1"/>
      <c r="B195" s="1"/>
      <c r="C195" s="1"/>
      <c r="D195" s="1"/>
      <c r="E195" s="1"/>
      <c r="F195" s="1"/>
      <c r="G195" s="1"/>
      <c r="H195" s="88"/>
      <c r="I195" s="88"/>
      <c r="J195" s="88"/>
      <c r="K195" s="88"/>
      <c r="L195" s="8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5.75" customHeight="1">
      <c r="A196" s="1"/>
      <c r="B196" s="1"/>
      <c r="C196" s="1"/>
      <c r="D196" s="1"/>
      <c r="E196" s="1"/>
      <c r="F196" s="1"/>
      <c r="G196" s="1"/>
      <c r="H196" s="88"/>
      <c r="I196" s="88"/>
      <c r="J196" s="88"/>
      <c r="K196" s="88"/>
      <c r="L196" s="8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5.75" customHeight="1">
      <c r="A197" s="1"/>
      <c r="B197" s="1"/>
      <c r="C197" s="1"/>
      <c r="D197" s="1"/>
      <c r="E197" s="1"/>
      <c r="F197" s="1"/>
      <c r="G197" s="1"/>
      <c r="H197" s="88"/>
      <c r="I197" s="88"/>
      <c r="J197" s="88"/>
      <c r="K197" s="88"/>
      <c r="L197" s="8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5.75" customHeight="1">
      <c r="A198" s="1"/>
      <c r="B198" s="1"/>
      <c r="C198" s="1"/>
      <c r="D198" s="1"/>
      <c r="E198" s="1"/>
      <c r="F198" s="1"/>
      <c r="G198" s="1"/>
      <c r="H198" s="88"/>
      <c r="I198" s="88"/>
      <c r="J198" s="88"/>
      <c r="K198" s="88"/>
      <c r="L198" s="8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5.75" customHeight="1">
      <c r="A199" s="1"/>
      <c r="B199" s="1"/>
      <c r="C199" s="1"/>
      <c r="D199" s="1"/>
      <c r="E199" s="1"/>
      <c r="F199" s="1"/>
      <c r="G199" s="1"/>
      <c r="H199" s="88"/>
      <c r="I199" s="88"/>
      <c r="J199" s="88"/>
      <c r="K199" s="88"/>
      <c r="L199" s="8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5.75" customHeight="1">
      <c r="A200" s="1"/>
      <c r="B200" s="1"/>
      <c r="C200" s="1"/>
      <c r="D200" s="1"/>
      <c r="E200" s="1"/>
      <c r="F200" s="1"/>
      <c r="G200" s="1"/>
      <c r="H200" s="88"/>
      <c r="I200" s="88"/>
      <c r="J200" s="88"/>
      <c r="K200" s="88"/>
      <c r="L200" s="8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5.75" customHeight="1">
      <c r="A201" s="1"/>
      <c r="B201" s="1"/>
      <c r="C201" s="1"/>
      <c r="D201" s="1"/>
      <c r="E201" s="1"/>
      <c r="F201" s="1"/>
      <c r="G201" s="1"/>
      <c r="H201" s="88"/>
      <c r="I201" s="88"/>
      <c r="J201" s="88"/>
      <c r="K201" s="88"/>
      <c r="L201" s="8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5.75" customHeight="1">
      <c r="A202" s="1"/>
      <c r="B202" s="1"/>
      <c r="C202" s="1"/>
      <c r="D202" s="1"/>
      <c r="E202" s="1"/>
      <c r="F202" s="1"/>
      <c r="G202" s="1"/>
      <c r="H202" s="88"/>
      <c r="I202" s="88"/>
      <c r="J202" s="88"/>
      <c r="K202" s="88"/>
      <c r="L202" s="8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5.75" customHeight="1">
      <c r="A203" s="1"/>
      <c r="B203" s="1"/>
      <c r="C203" s="1"/>
      <c r="D203" s="1"/>
      <c r="E203" s="1"/>
      <c r="F203" s="1"/>
      <c r="G203" s="1"/>
      <c r="H203" s="88"/>
      <c r="I203" s="88"/>
      <c r="J203" s="88"/>
      <c r="K203" s="88"/>
      <c r="L203" s="8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5.75" customHeight="1">
      <c r="A204" s="1"/>
      <c r="B204" s="1"/>
      <c r="C204" s="1"/>
      <c r="D204" s="1"/>
      <c r="E204" s="1"/>
      <c r="F204" s="1"/>
      <c r="G204" s="1"/>
      <c r="H204" s="88"/>
      <c r="I204" s="88"/>
      <c r="J204" s="88"/>
      <c r="K204" s="88"/>
      <c r="L204" s="8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5.75" customHeight="1">
      <c r="A205" s="1"/>
      <c r="B205" s="1"/>
      <c r="C205" s="1"/>
      <c r="D205" s="1"/>
      <c r="E205" s="1"/>
      <c r="F205" s="1"/>
      <c r="G205" s="1"/>
      <c r="H205" s="88"/>
      <c r="I205" s="88"/>
      <c r="J205" s="88"/>
      <c r="K205" s="88"/>
      <c r="L205" s="8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5.75" customHeight="1">
      <c r="A206" s="1"/>
      <c r="B206" s="1"/>
      <c r="C206" s="1"/>
      <c r="D206" s="1"/>
      <c r="E206" s="1"/>
      <c r="F206" s="1"/>
      <c r="G206" s="1"/>
      <c r="H206" s="88"/>
      <c r="I206" s="88"/>
      <c r="J206" s="88"/>
      <c r="K206" s="88"/>
      <c r="L206" s="8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5.75" customHeight="1">
      <c r="A207" s="1"/>
      <c r="B207" s="1"/>
      <c r="C207" s="1"/>
      <c r="D207" s="1"/>
      <c r="E207" s="1"/>
      <c r="F207" s="1"/>
      <c r="G207" s="1"/>
      <c r="H207" s="88"/>
      <c r="I207" s="88"/>
      <c r="J207" s="88"/>
      <c r="K207" s="88"/>
      <c r="L207" s="8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5.75" customHeight="1">
      <c r="A208" s="1"/>
      <c r="B208" s="1"/>
      <c r="C208" s="1"/>
      <c r="D208" s="1"/>
      <c r="E208" s="1"/>
      <c r="F208" s="1"/>
      <c r="G208" s="1"/>
      <c r="H208" s="88"/>
      <c r="I208" s="88"/>
      <c r="J208" s="88"/>
      <c r="K208" s="88"/>
      <c r="L208" s="8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5.75" customHeight="1">
      <c r="A209" s="1"/>
      <c r="B209" s="1"/>
      <c r="C209" s="1"/>
      <c r="D209" s="1"/>
      <c r="E209" s="1"/>
      <c r="F209" s="1"/>
      <c r="G209" s="1"/>
      <c r="H209" s="88"/>
      <c r="I209" s="88"/>
      <c r="J209" s="88"/>
      <c r="K209" s="88"/>
      <c r="L209" s="8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5.75" customHeight="1">
      <c r="A210" s="1"/>
      <c r="B210" s="1"/>
      <c r="C210" s="1"/>
      <c r="D210" s="1"/>
      <c r="E210" s="1"/>
      <c r="F210" s="1"/>
      <c r="G210" s="1"/>
      <c r="H210" s="88"/>
      <c r="I210" s="88"/>
      <c r="J210" s="88"/>
      <c r="K210" s="88"/>
      <c r="L210" s="8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5.75" customHeight="1">
      <c r="A211" s="1"/>
      <c r="B211" s="1"/>
      <c r="C211" s="1"/>
      <c r="D211" s="1"/>
      <c r="E211" s="1"/>
      <c r="F211" s="1"/>
      <c r="G211" s="1"/>
      <c r="H211" s="88"/>
      <c r="I211" s="88"/>
      <c r="J211" s="88"/>
      <c r="K211" s="88"/>
      <c r="L211" s="8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5.75" customHeight="1">
      <c r="A212" s="1"/>
      <c r="B212" s="1"/>
      <c r="C212" s="1"/>
      <c r="D212" s="1"/>
      <c r="E212" s="1"/>
      <c r="F212" s="1"/>
      <c r="G212" s="1"/>
      <c r="H212" s="88"/>
      <c r="I212" s="88"/>
      <c r="J212" s="88"/>
      <c r="K212" s="88"/>
      <c r="L212" s="8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5.75" customHeight="1">
      <c r="A213" s="1"/>
      <c r="B213" s="1"/>
      <c r="C213" s="1"/>
      <c r="D213" s="1"/>
      <c r="E213" s="1"/>
      <c r="F213" s="1"/>
      <c r="G213" s="1"/>
      <c r="H213" s="88"/>
      <c r="I213" s="88"/>
      <c r="J213" s="88"/>
      <c r="K213" s="88"/>
      <c r="L213" s="8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5.75" customHeight="1">
      <c r="A214" s="1"/>
      <c r="B214" s="1"/>
      <c r="C214" s="1"/>
      <c r="D214" s="1"/>
      <c r="E214" s="1"/>
      <c r="F214" s="1"/>
      <c r="G214" s="1"/>
      <c r="H214" s="88"/>
      <c r="I214" s="88"/>
      <c r="J214" s="88"/>
      <c r="K214" s="88"/>
      <c r="L214" s="8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5.75" customHeight="1">
      <c r="A215" s="1"/>
      <c r="B215" s="1"/>
      <c r="C215" s="1"/>
      <c r="D215" s="1"/>
      <c r="E215" s="1"/>
      <c r="F215" s="1"/>
      <c r="G215" s="1"/>
      <c r="H215" s="88"/>
      <c r="I215" s="88"/>
      <c r="J215" s="88"/>
      <c r="K215" s="88"/>
      <c r="L215" s="8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5.75" customHeight="1">
      <c r="A216" s="1"/>
      <c r="B216" s="1"/>
      <c r="C216" s="1"/>
      <c r="D216" s="1"/>
      <c r="E216" s="1"/>
      <c r="F216" s="1"/>
      <c r="G216" s="1"/>
      <c r="H216" s="88"/>
      <c r="I216" s="88"/>
      <c r="J216" s="88"/>
      <c r="K216" s="88"/>
      <c r="L216" s="8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5.75" customHeight="1">
      <c r="A217" s="1"/>
      <c r="B217" s="1"/>
      <c r="C217" s="1"/>
      <c r="D217" s="1"/>
      <c r="E217" s="1"/>
      <c r="F217" s="1"/>
      <c r="G217" s="1"/>
      <c r="H217" s="88"/>
      <c r="I217" s="88"/>
      <c r="J217" s="88"/>
      <c r="K217" s="88"/>
      <c r="L217" s="8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5.75" customHeight="1">
      <c r="A218" s="1"/>
      <c r="B218" s="1"/>
      <c r="C218" s="1"/>
      <c r="D218" s="1"/>
      <c r="E218" s="1"/>
      <c r="F218" s="1"/>
      <c r="G218" s="1"/>
      <c r="H218" s="88"/>
      <c r="I218" s="88"/>
      <c r="J218" s="88"/>
      <c r="K218" s="88"/>
      <c r="L218" s="8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5.75" customHeight="1">
      <c r="A219" s="1"/>
      <c r="B219" s="1"/>
      <c r="C219" s="1"/>
      <c r="D219" s="1"/>
      <c r="E219" s="1"/>
      <c r="F219" s="1"/>
      <c r="G219" s="1"/>
      <c r="H219" s="88"/>
      <c r="I219" s="88"/>
      <c r="J219" s="88"/>
      <c r="K219" s="88"/>
      <c r="L219" s="8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H5:H6"/>
    <mergeCell ref="I5:I6"/>
    <mergeCell ref="J5:J6"/>
    <mergeCell ref="K5:K6"/>
    <mergeCell ref="B7:L7"/>
    <mergeCell ref="B16:L16"/>
    <mergeCell ref="B20:L20"/>
    <mergeCell ref="B24:L24"/>
    <mergeCell ref="B29:L29"/>
    <mergeCell ref="D5:D6"/>
    <mergeCell ref="E5:E6"/>
    <mergeCell ref="F5:F6"/>
    <mergeCell ref="G5:G6"/>
    <mergeCell ref="L5:L6"/>
    <mergeCell ref="M5:Q5"/>
    <mergeCell ref="R5:V5"/>
    <mergeCell ref="W5:AA5"/>
    <mergeCell ref="AB5:AF5"/>
    <mergeCell ref="AG5:AK5"/>
    <mergeCell ref="AH1:AK1"/>
    <mergeCell ref="M2:U2"/>
    <mergeCell ref="V2:AK2"/>
    <mergeCell ref="M3:U3"/>
    <mergeCell ref="V3:AK3"/>
    <mergeCell ref="B5:B6"/>
    <mergeCell ref="C5:C6"/>
    <mergeCell ref="B34:L34"/>
    <mergeCell ref="B39:L39"/>
    <mergeCell ref="B43:L43"/>
  </mergeCells>
  <conditionalFormatting sqref="L8:L15">
    <cfRule type="colorScale" priority="1">
      <colorScale>
        <cfvo type="min"/>
        <cfvo type="max"/>
        <color rgb="FFFFFFFF"/>
        <color rgb="FF57BB8A"/>
      </colorScale>
    </cfRule>
  </conditionalFormatting>
  <conditionalFormatting sqref="L8:L1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